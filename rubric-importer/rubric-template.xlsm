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iegfried\Downloads\"/>
    </mc:Choice>
  </mc:AlternateContent>
  <xr:revisionPtr revIDLastSave="0" documentId="13_ncr:1_{6ABC4F42-0735-4217-A01F-B21C41D18ED3}" xr6:coauthVersionLast="45" xr6:coauthVersionMax="45" xr10:uidLastSave="{00000000-0000-0000-0000-000000000000}"/>
  <bookViews>
    <workbookView xWindow="880" yWindow="-110" windowWidth="37630" windowHeight="21820" xr2:uid="{DAD9EA05-BEB6-4E53-8EE0-F56AA77829DC}"/>
  </bookViews>
  <sheets>
    <sheet name="Rubric" sheetId="6" r:id="rId1"/>
    <sheet name="Instellingen" sheetId="7" r:id="rId2"/>
  </sheets>
  <functionGroups builtInGroupCount="19"/>
  <definedNames>
    <definedName name="CriteriumScoreType">Instellingen!$B$3:$B$4</definedName>
    <definedName name="RatingNames">Instellingen!$D$3:$D$8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87" i="6" l="1"/>
  <c r="L186" i="6"/>
  <c r="J186" i="6"/>
  <c r="I186" i="6"/>
  <c r="H186" i="6"/>
  <c r="G186" i="6"/>
  <c r="F186" i="6"/>
  <c r="S185" i="6"/>
  <c r="R185" i="6"/>
  <c r="Q185" i="6"/>
  <c r="P185" i="6"/>
  <c r="M185" i="6"/>
  <c r="L185" i="6"/>
  <c r="L184" i="6"/>
  <c r="L183" i="6"/>
  <c r="L182" i="6"/>
  <c r="L181" i="6"/>
  <c r="L180" i="6"/>
  <c r="J180" i="6"/>
  <c r="I180" i="6"/>
  <c r="H180" i="6"/>
  <c r="G180" i="6"/>
  <c r="F180" i="6"/>
  <c r="S179" i="6"/>
  <c r="R179" i="6"/>
  <c r="Q179" i="6"/>
  <c r="P179" i="6"/>
  <c r="M179" i="6"/>
  <c r="L179" i="6"/>
  <c r="L178" i="6"/>
  <c r="L177" i="6"/>
  <c r="L176" i="6"/>
  <c r="L175" i="6"/>
  <c r="L174" i="6"/>
  <c r="J174" i="6"/>
  <c r="I174" i="6"/>
  <c r="H174" i="6"/>
  <c r="G174" i="6"/>
  <c r="F174" i="6"/>
  <c r="S173" i="6"/>
  <c r="R173" i="6"/>
  <c r="Q173" i="6"/>
  <c r="P173" i="6"/>
  <c r="M173" i="6"/>
  <c r="L173" i="6"/>
  <c r="L172" i="6"/>
  <c r="L171" i="6"/>
  <c r="L170" i="6"/>
  <c r="L169" i="6"/>
  <c r="L168" i="6"/>
  <c r="J168" i="6"/>
  <c r="I168" i="6"/>
  <c r="H168" i="6"/>
  <c r="G168" i="6"/>
  <c r="F168" i="6"/>
  <c r="S167" i="6"/>
  <c r="R167" i="6"/>
  <c r="Q167" i="6"/>
  <c r="P167" i="6"/>
  <c r="M167" i="6"/>
  <c r="L167" i="6"/>
  <c r="L166" i="6"/>
  <c r="L165" i="6"/>
  <c r="L164" i="6"/>
  <c r="L163" i="6"/>
  <c r="L162" i="6"/>
  <c r="J162" i="6"/>
  <c r="I162" i="6"/>
  <c r="H162" i="6"/>
  <c r="G162" i="6"/>
  <c r="F162" i="6"/>
  <c r="S161" i="6"/>
  <c r="R161" i="6"/>
  <c r="Q161" i="6"/>
  <c r="P161" i="6"/>
  <c r="M161" i="6"/>
  <c r="L161" i="6"/>
  <c r="L160" i="6"/>
  <c r="L159" i="6"/>
  <c r="L158" i="6"/>
  <c r="L157" i="6"/>
  <c r="L156" i="6"/>
  <c r="J156" i="6"/>
  <c r="I156" i="6"/>
  <c r="H156" i="6"/>
  <c r="G156" i="6"/>
  <c r="F156" i="6"/>
  <c r="S155" i="6"/>
  <c r="R155" i="6"/>
  <c r="Q155" i="6"/>
  <c r="P155" i="6"/>
  <c r="M155" i="6"/>
  <c r="L155" i="6"/>
  <c r="L154" i="6"/>
  <c r="L153" i="6"/>
  <c r="L152" i="6"/>
  <c r="L151" i="6"/>
  <c r="L150" i="6"/>
  <c r="J150" i="6"/>
  <c r="I150" i="6"/>
  <c r="H150" i="6"/>
  <c r="G150" i="6"/>
  <c r="F150" i="6"/>
  <c r="S149" i="6"/>
  <c r="R149" i="6"/>
  <c r="Q149" i="6"/>
  <c r="P149" i="6"/>
  <c r="M149" i="6"/>
  <c r="L149" i="6"/>
  <c r="L148" i="6"/>
  <c r="L147" i="6"/>
  <c r="L146" i="6"/>
  <c r="L145" i="6"/>
  <c r="L144" i="6"/>
  <c r="J144" i="6"/>
  <c r="I144" i="6"/>
  <c r="H144" i="6"/>
  <c r="G144" i="6"/>
  <c r="F144" i="6"/>
  <c r="S143" i="6"/>
  <c r="R143" i="6"/>
  <c r="Q143" i="6"/>
  <c r="P143" i="6"/>
  <c r="M143" i="6"/>
  <c r="L143" i="6"/>
  <c r="L142" i="6"/>
  <c r="L141" i="6"/>
  <c r="L140" i="6"/>
  <c r="L139" i="6"/>
  <c r="L138" i="6"/>
  <c r="J138" i="6"/>
  <c r="I138" i="6"/>
  <c r="H138" i="6"/>
  <c r="G138" i="6"/>
  <c r="F138" i="6"/>
  <c r="S137" i="6"/>
  <c r="R137" i="6"/>
  <c r="Q137" i="6"/>
  <c r="P137" i="6"/>
  <c r="M137" i="6"/>
  <c r="L137" i="6"/>
  <c r="L136" i="6"/>
  <c r="L135" i="6"/>
  <c r="L134" i="6"/>
  <c r="L133" i="6"/>
  <c r="L132" i="6"/>
  <c r="J132" i="6"/>
  <c r="I132" i="6"/>
  <c r="H132" i="6"/>
  <c r="G132" i="6"/>
  <c r="F132" i="6"/>
  <c r="S131" i="6"/>
  <c r="R131" i="6"/>
  <c r="Q131" i="6"/>
  <c r="P131" i="6"/>
  <c r="M131" i="6"/>
  <c r="L131" i="6"/>
  <c r="L130" i="6"/>
  <c r="L129" i="6"/>
  <c r="L128" i="6"/>
  <c r="L127" i="6"/>
  <c r="L126" i="6"/>
  <c r="J126" i="6"/>
  <c r="I126" i="6"/>
  <c r="H126" i="6"/>
  <c r="G126" i="6"/>
  <c r="F126" i="6"/>
  <c r="S125" i="6"/>
  <c r="R125" i="6"/>
  <c r="Q125" i="6"/>
  <c r="P125" i="6"/>
  <c r="M125" i="6"/>
  <c r="L125" i="6"/>
  <c r="L124" i="6"/>
  <c r="L123" i="6"/>
  <c r="L122" i="6"/>
  <c r="L121" i="6"/>
  <c r="L120" i="6"/>
  <c r="J120" i="6"/>
  <c r="I120" i="6"/>
  <c r="H120" i="6"/>
  <c r="G120" i="6"/>
  <c r="F120" i="6"/>
  <c r="S119" i="6"/>
  <c r="R119" i="6"/>
  <c r="Q119" i="6"/>
  <c r="P119" i="6"/>
  <c r="M119" i="6"/>
  <c r="L119" i="6"/>
  <c r="L118" i="6"/>
  <c r="L117" i="6"/>
  <c r="L116" i="6"/>
  <c r="L115" i="6"/>
  <c r="L114" i="6"/>
  <c r="J114" i="6"/>
  <c r="I114" i="6"/>
  <c r="H114" i="6"/>
  <c r="G114" i="6"/>
  <c r="F114" i="6"/>
  <c r="S113" i="6"/>
  <c r="R113" i="6"/>
  <c r="Q113" i="6"/>
  <c r="P113" i="6"/>
  <c r="M113" i="6"/>
  <c r="L113" i="6"/>
  <c r="L112" i="6"/>
  <c r="L111" i="6"/>
  <c r="L110" i="6"/>
  <c r="L109" i="6"/>
  <c r="L108" i="6"/>
  <c r="J108" i="6"/>
  <c r="I108" i="6"/>
  <c r="H108" i="6"/>
  <c r="G108" i="6"/>
  <c r="F108" i="6"/>
  <c r="S107" i="6"/>
  <c r="R107" i="6"/>
  <c r="Q107" i="6"/>
  <c r="P107" i="6"/>
  <c r="M107" i="6"/>
  <c r="L107" i="6"/>
  <c r="L106" i="6"/>
  <c r="L105" i="6"/>
  <c r="L104" i="6"/>
  <c r="L103" i="6"/>
  <c r="L102" i="6"/>
  <c r="J102" i="6"/>
  <c r="I102" i="6"/>
  <c r="H102" i="6"/>
  <c r="G102" i="6"/>
  <c r="F102" i="6"/>
  <c r="S101" i="6"/>
  <c r="R101" i="6"/>
  <c r="Q101" i="6"/>
  <c r="P101" i="6"/>
  <c r="M101" i="6"/>
  <c r="L101" i="6"/>
  <c r="L100" i="6"/>
  <c r="L99" i="6"/>
  <c r="L98" i="6"/>
  <c r="L97" i="6"/>
  <c r="L96" i="6"/>
  <c r="J96" i="6"/>
  <c r="I96" i="6"/>
  <c r="H96" i="6"/>
  <c r="G96" i="6"/>
  <c r="F96" i="6"/>
  <c r="S95" i="6"/>
  <c r="R95" i="6"/>
  <c r="Q95" i="6"/>
  <c r="P95" i="6"/>
  <c r="M95" i="6"/>
  <c r="L95" i="6"/>
  <c r="L94" i="6"/>
  <c r="L93" i="6"/>
  <c r="L92" i="6"/>
  <c r="L91" i="6"/>
  <c r="L90" i="6"/>
  <c r="J90" i="6"/>
  <c r="I90" i="6"/>
  <c r="H90" i="6"/>
  <c r="G90" i="6"/>
  <c r="F90" i="6"/>
  <c r="S89" i="6"/>
  <c r="R89" i="6"/>
  <c r="Q89" i="6"/>
  <c r="P89" i="6"/>
  <c r="M89" i="6"/>
  <c r="L89" i="6"/>
  <c r="L88" i="6"/>
  <c r="L87" i="6"/>
  <c r="L86" i="6"/>
  <c r="L85" i="6"/>
  <c r="L84" i="6"/>
  <c r="J84" i="6"/>
  <c r="I84" i="6"/>
  <c r="H84" i="6"/>
  <c r="G84" i="6"/>
  <c r="F84" i="6"/>
  <c r="S83" i="6"/>
  <c r="R83" i="6"/>
  <c r="Q83" i="6"/>
  <c r="P83" i="6"/>
  <c r="M83" i="6"/>
  <c r="L83" i="6"/>
  <c r="L82" i="6"/>
  <c r="L81" i="6"/>
  <c r="L80" i="6"/>
  <c r="L79" i="6"/>
  <c r="L78" i="6"/>
  <c r="J78" i="6"/>
  <c r="I78" i="6"/>
  <c r="H78" i="6"/>
  <c r="G78" i="6"/>
  <c r="F78" i="6"/>
  <c r="S77" i="6"/>
  <c r="R77" i="6"/>
  <c r="Q77" i="6"/>
  <c r="P77" i="6"/>
  <c r="M77" i="6"/>
  <c r="L77" i="6"/>
  <c r="L76" i="6"/>
  <c r="L75" i="6"/>
  <c r="L74" i="6"/>
  <c r="L73" i="6"/>
  <c r="L72" i="6"/>
  <c r="J72" i="6"/>
  <c r="I72" i="6"/>
  <c r="H72" i="6"/>
  <c r="G72" i="6"/>
  <c r="F72" i="6"/>
  <c r="S71" i="6"/>
  <c r="R71" i="6"/>
  <c r="Q71" i="6"/>
  <c r="P71" i="6"/>
  <c r="M71" i="6"/>
  <c r="L71" i="6"/>
  <c r="L70" i="6"/>
  <c r="L69" i="6"/>
  <c r="L68" i="6"/>
  <c r="L67" i="6"/>
  <c r="L66" i="6"/>
  <c r="J66" i="6"/>
  <c r="I66" i="6"/>
  <c r="H66" i="6"/>
  <c r="G66" i="6"/>
  <c r="F66" i="6"/>
  <c r="S65" i="6"/>
  <c r="R65" i="6"/>
  <c r="Q65" i="6"/>
  <c r="P65" i="6"/>
  <c r="M65" i="6"/>
  <c r="L65" i="6"/>
  <c r="L64" i="6"/>
  <c r="L63" i="6"/>
  <c r="L62" i="6"/>
  <c r="L61" i="6"/>
  <c r="L60" i="6"/>
  <c r="J60" i="6"/>
  <c r="I60" i="6"/>
  <c r="H60" i="6"/>
  <c r="G60" i="6"/>
  <c r="F60" i="6"/>
  <c r="S59" i="6"/>
  <c r="R59" i="6"/>
  <c r="Q59" i="6"/>
  <c r="P59" i="6"/>
  <c r="M59" i="6"/>
  <c r="L59" i="6"/>
  <c r="L58" i="6"/>
  <c r="L57" i="6"/>
  <c r="L56" i="6"/>
  <c r="L55" i="6"/>
  <c r="L54" i="6"/>
  <c r="J54" i="6"/>
  <c r="I54" i="6"/>
  <c r="H54" i="6"/>
  <c r="G54" i="6"/>
  <c r="F54" i="6"/>
  <c r="S53" i="6"/>
  <c r="R53" i="6"/>
  <c r="Q53" i="6"/>
  <c r="P53" i="6"/>
  <c r="M53" i="6"/>
  <c r="L53" i="6"/>
  <c r="L52" i="6"/>
  <c r="L51" i="6"/>
  <c r="L50" i="6"/>
  <c r="L49" i="6"/>
  <c r="L48" i="6"/>
  <c r="J48" i="6"/>
  <c r="I48" i="6"/>
  <c r="H48" i="6"/>
  <c r="G48" i="6"/>
  <c r="F48" i="6"/>
  <c r="S47" i="6"/>
  <c r="R47" i="6"/>
  <c r="Q47" i="6"/>
  <c r="P47" i="6"/>
  <c r="M47" i="6"/>
  <c r="L47" i="6"/>
  <c r="L46" i="6"/>
  <c r="L45" i="6"/>
  <c r="L44" i="6"/>
  <c r="L43" i="6"/>
  <c r="L42" i="6"/>
  <c r="J42" i="6"/>
  <c r="I42" i="6"/>
  <c r="H42" i="6"/>
  <c r="G42" i="6"/>
  <c r="F42" i="6"/>
  <c r="S41" i="6"/>
  <c r="R41" i="6"/>
  <c r="Q41" i="6"/>
  <c r="P41" i="6"/>
  <c r="M41" i="6"/>
  <c r="L41" i="6"/>
  <c r="L40" i="6"/>
  <c r="L39" i="6"/>
  <c r="L38" i="6"/>
  <c r="L37" i="6"/>
  <c r="L36" i="6"/>
  <c r="J36" i="6"/>
  <c r="I36" i="6"/>
  <c r="H36" i="6"/>
  <c r="G36" i="6"/>
  <c r="F36" i="6"/>
  <c r="S35" i="6"/>
  <c r="R35" i="6"/>
  <c r="Q35" i="6"/>
  <c r="P35" i="6"/>
  <c r="M35" i="6"/>
  <c r="L35" i="6"/>
  <c r="L34" i="6"/>
  <c r="L33" i="6"/>
  <c r="L32" i="6"/>
  <c r="L31" i="6"/>
  <c r="L30" i="6"/>
  <c r="J30" i="6"/>
  <c r="I30" i="6"/>
  <c r="H30" i="6"/>
  <c r="G30" i="6"/>
  <c r="F30" i="6"/>
  <c r="S29" i="6"/>
  <c r="R29" i="6"/>
  <c r="Q29" i="6"/>
  <c r="P29" i="6"/>
  <c r="M29" i="6"/>
  <c r="L29" i="6"/>
  <c r="L28" i="6"/>
  <c r="L27" i="6"/>
  <c r="L26" i="6"/>
  <c r="L25" i="6"/>
  <c r="L24" i="6"/>
  <c r="J24" i="6"/>
  <c r="I24" i="6"/>
  <c r="H24" i="6"/>
  <c r="G24" i="6"/>
  <c r="F24" i="6"/>
  <c r="S23" i="6"/>
  <c r="R23" i="6"/>
  <c r="Q23" i="6"/>
  <c r="P23" i="6"/>
  <c r="M23" i="6"/>
  <c r="L23" i="6"/>
  <c r="L22" i="6"/>
  <c r="L21" i="6"/>
  <c r="L20" i="6"/>
  <c r="L19" i="6"/>
  <c r="L18" i="6"/>
  <c r="J18" i="6"/>
  <c r="S17" i="6"/>
  <c r="I18" i="6" s="1"/>
  <c r="R17" i="6"/>
  <c r="H18" i="6" s="1"/>
  <c r="Q17" i="6"/>
  <c r="G18" i="6" s="1"/>
  <c r="P17" i="6"/>
  <c r="F18" i="6" s="1"/>
  <c r="M17" i="6"/>
  <c r="L17" i="6"/>
  <c r="L16" i="6"/>
  <c r="L15" i="6"/>
  <c r="S11" i="6"/>
  <c r="I12" i="6" s="1"/>
  <c r="R11" i="6"/>
  <c r="H12" i="6" s="1"/>
  <c r="Q11" i="6"/>
  <c r="G12" i="6" s="1"/>
  <c r="P11" i="6"/>
  <c r="F12" i="6" s="1"/>
  <c r="J12" i="6"/>
  <c r="L14" i="6"/>
  <c r="L9" i="6"/>
  <c r="L10" i="6"/>
  <c r="L11" i="6"/>
  <c r="L12" i="6"/>
  <c r="L13" i="6"/>
  <c r="M11" i="6"/>
  <c r="E6" i="6" l="1"/>
  <c r="C6" i="6"/>
</calcChain>
</file>

<file path=xl/sharedStrings.xml><?xml version="1.0" encoding="utf-8"?>
<sst xmlns="http://schemas.openxmlformats.org/spreadsheetml/2006/main" count="119" uniqueCount="26">
  <si>
    <t>Voldoende</t>
  </si>
  <si>
    <t>Onvoldoende</t>
  </si>
  <si>
    <t>Uitstekend</t>
  </si>
  <si>
    <t>Goed</t>
  </si>
  <si>
    <t>Geen score</t>
  </si>
  <si>
    <t>Howest GRAD PROG</t>
  </si>
  <si>
    <t>Canvas Rubric Generation Sheet</t>
  </si>
  <si>
    <t>Criterium</t>
  </si>
  <si>
    <t>Bereik</t>
  </si>
  <si>
    <t>Scoretekst</t>
  </si>
  <si>
    <t>Punten</t>
  </si>
  <si>
    <t>CriteriumScoreType</t>
  </si>
  <si>
    <t>Crit A</t>
  </si>
  <si>
    <t>Rating</t>
  </si>
  <si>
    <t xml:space="preserve"> </t>
  </si>
  <si>
    <t>Copy and paste JSON:</t>
  </si>
  <si>
    <t>Uitstekend Crit A</t>
  </si>
  <si>
    <t>Voldoende Crit A</t>
  </si>
  <si>
    <t>Geen score Crit B</t>
  </si>
  <si>
    <t>Goed Crit B</t>
  </si>
  <si>
    <t>Onvoldoende Crit B</t>
  </si>
  <si>
    <t>Cell Protection pass:</t>
  </si>
  <si>
    <t xml:space="preserve">Titel  </t>
  </si>
  <si>
    <t xml:space="preserve">Max score  </t>
  </si>
  <si>
    <t xml:space="preserve">Aantal Criteria  </t>
  </si>
  <si>
    <t>no-deconstruction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</si>
</sst>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2"/>
      <color theme="1"/>
      <name val="Calibri"/>
      <family val="2"/>
      <scheme val="minor"/>
    </font>
    <font>
      <sz val="14"/>
      <color theme="1"/>
      <name val="Calibri"/>
      <family val="2"/>
      <scheme val="minor"/>
    </font>
    <font>
      <sz val="16"/>
      <color theme="1"/>
      <name val="Calibri"/>
      <family val="2"/>
      <scheme val="minor"/>
    </font>
    <font>
      <sz val="26"/>
      <color theme="1"/>
      <name val="Calibri"/>
      <family val="2"/>
      <scheme val="minor"/>
    </font>
    <font>
      <sz val="10"/>
      <color theme="1"/>
      <name val="Calibri"/>
      <family val="2"/>
      <scheme val="minor"/>
    </font>
    <font>
      <sz val="10"/>
      <name val="Calibri"/>
      <family val="2"/>
      <scheme val="minor"/>
    </font>
    <font>
      <sz val="14"/>
      <color rgb="FF000000"/>
      <name val="Calibri"/>
      <family val="2"/>
    </font>
    <font>
      <i/>
      <sz val="12"/>
      <color theme="1"/>
      <name val="Calibri"/>
      <family val="2"/>
      <scheme val="minor"/>
    </font>
    <font>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top style="double">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s>
  <cellStyleXfs count="1">
    <xf numFmtId="0" fontId="0" fillId="0" borderId="0"/>
  </cellStyleXfs>
  <cellXfs count="39">
    <xf numFmtId="0" fontId="0" fillId="0" borderId="0" xfId="0"/>
    <xf numFmtId="0" fontId="4" fillId="3" borderId="0" xfId="0" applyFont="1" applyFill="1"/>
    <xf numFmtId="0" fontId="5" fillId="3" borderId="0" xfId="0" applyFont="1" applyFill="1"/>
    <xf numFmtId="0" fontId="0" fillId="3" borderId="0" xfId="0" applyFill="1"/>
    <xf numFmtId="0" fontId="0" fillId="3" borderId="0" xfId="0" applyFill="1" applyAlignment="1">
      <alignment horizontal="right"/>
    </xf>
    <xf numFmtId="0" fontId="0" fillId="3" borderId="7" xfId="0" applyFill="1" applyBorder="1"/>
    <xf numFmtId="0" fontId="0" fillId="3" borderId="0" xfId="0" applyFill="1" applyBorder="1" applyAlignment="1">
      <alignment horizontal="center"/>
    </xf>
    <xf numFmtId="0" fontId="0" fillId="0" borderId="11" xfId="0" applyBorder="1"/>
    <xf numFmtId="0" fontId="0" fillId="3" borderId="0" xfId="0" applyFont="1" applyFill="1" applyAlignment="1"/>
    <xf numFmtId="0" fontId="3" fillId="2" borderId="10" xfId="0" applyFont="1" applyFill="1" applyBorder="1" applyAlignment="1">
      <alignment vertical="center"/>
    </xf>
    <xf numFmtId="0" fontId="3" fillId="2" borderId="0" xfId="0" applyFont="1" applyFill="1" applyBorder="1" applyAlignment="1">
      <alignment vertical="center"/>
    </xf>
    <xf numFmtId="0" fontId="5" fillId="3" borderId="0" xfId="0" applyFont="1" applyFill="1" applyAlignment="1"/>
    <xf numFmtId="0" fontId="3" fillId="2" borderId="0" xfId="0" applyFont="1" applyFill="1" applyBorder="1" applyAlignment="1">
      <alignment horizontal="center" vertical="center"/>
    </xf>
    <xf numFmtId="0" fontId="2" fillId="2" borderId="2" xfId="0" applyFont="1" applyFill="1" applyBorder="1" applyAlignment="1">
      <alignment horizontal="center" vertical="center"/>
    </xf>
    <xf numFmtId="0" fontId="3" fillId="2" borderId="10"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14" xfId="0" applyFont="1" applyFill="1" applyBorder="1" applyAlignment="1">
      <alignment horizontal="center" vertical="center"/>
    </xf>
    <xf numFmtId="0" fontId="6" fillId="0" borderId="0" xfId="0" applyFont="1" applyFill="1" applyBorder="1" applyAlignment="1">
      <alignment vertical="center"/>
    </xf>
    <xf numFmtId="0" fontId="1" fillId="0" borderId="0" xfId="0" applyFont="1"/>
    <xf numFmtId="0" fontId="0" fillId="2" borderId="3" xfId="0" applyFill="1" applyBorder="1" applyAlignment="1">
      <alignment horizontal="center"/>
    </xf>
    <xf numFmtId="0" fontId="9" fillId="3" borderId="0" xfId="0" applyFont="1" applyFill="1" applyAlignment="1">
      <alignment horizontal="left"/>
    </xf>
    <xf numFmtId="0" fontId="4" fillId="3" borderId="0" xfId="0" applyFont="1" applyFill="1" applyAlignment="1">
      <alignment vertical="center"/>
    </xf>
    <xf numFmtId="0" fontId="5" fillId="3" borderId="0" xfId="0" applyFont="1" applyFill="1" applyAlignment="1">
      <alignment vertical="center"/>
    </xf>
    <xf numFmtId="0" fontId="0" fillId="3" borderId="0" xfId="0" applyFill="1" applyAlignment="1">
      <alignment vertical="center"/>
    </xf>
    <xf numFmtId="0" fontId="0" fillId="3" borderId="7" xfId="0" applyFill="1" applyBorder="1" applyAlignment="1">
      <alignment vertical="center"/>
    </xf>
    <xf numFmtId="0" fontId="0" fillId="0" borderId="0" xfId="0" applyAlignment="1">
      <alignment vertical="center"/>
    </xf>
    <xf numFmtId="0" fontId="0" fillId="3" borderId="3" xfId="0" applyFont="1" applyFill="1" applyBorder="1" applyAlignment="1" applyProtection="1">
      <protection locked="0"/>
    </xf>
    <xf numFmtId="0" fontId="6" fillId="0" borderId="1" xfId="0" applyFont="1" applyBorder="1" applyAlignment="1" applyProtection="1">
      <alignment horizontal="center" vertical="center"/>
      <protection locked="0"/>
    </xf>
    <xf numFmtId="0" fontId="6" fillId="3" borderId="1" xfId="0" applyFont="1" applyFill="1" applyBorder="1" applyAlignment="1" applyProtection="1">
      <alignment horizontal="center" vertical="center"/>
      <protection locked="0"/>
    </xf>
    <xf numFmtId="0" fontId="10" fillId="2" borderId="3" xfId="0" applyFont="1" applyFill="1" applyBorder="1" applyAlignment="1">
      <alignment horizontal="center"/>
    </xf>
    <xf numFmtId="0" fontId="6" fillId="0" borderId="1" xfId="0" applyFont="1" applyBorder="1" applyAlignment="1" applyProtection="1">
      <alignment horizontal="center" vertical="center" wrapText="1"/>
      <protection locked="0"/>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3" fillId="2" borderId="8"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10" xfId="0" applyFont="1" applyFill="1" applyBorder="1" applyAlignment="1">
      <alignment horizontal="center"/>
    </xf>
    <xf numFmtId="0" fontId="3" fillId="2" borderId="13" xfId="0" applyFont="1" applyFill="1" applyBorder="1" applyAlignment="1">
      <alignment horizontal="center"/>
    </xf>
  </cellXfs>
  <cellStyles count="1">
    <cellStyle name="Normal" xfId="0" builtinId="0"/>
  </cellStyles>
  <dxfs count="1269">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2362200</xdr:colOff>
          <xdr:row>0</xdr:row>
          <xdr:rowOff>254000</xdr:rowOff>
        </xdr:from>
        <xdr:to>
          <xdr:col>6</xdr:col>
          <xdr:colOff>2362200</xdr:colOff>
          <xdr:row>1</xdr:row>
          <xdr:rowOff>406400</xdr:rowOff>
        </xdr:to>
        <xdr:sp macro="" textlink="">
          <xdr:nvSpPr>
            <xdr:cNvPr id="6154" name="Button 10" descr="Generate Rubric JSON-data" hidden="1">
              <a:extLst>
                <a:ext uri="{63B3BB69-23CF-44E3-9099-C40C66FF867C}">
                  <a14:compatExt spid="_x0000_s6154"/>
                </a:ext>
                <a:ext uri="{FF2B5EF4-FFF2-40B4-BE49-F238E27FC236}">
                  <a16:creationId xmlns:a16="http://schemas.microsoft.com/office/drawing/2014/main" id="{00000000-0008-0000-0000-00000A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BE" sz="1400" b="0" i="0" u="none" strike="noStrike" baseline="0">
                  <a:solidFill>
                    <a:srgbClr val="000000"/>
                  </a:solidFill>
                  <a:latin typeface="Calibri"/>
                  <a:cs typeface="Calibri"/>
                </a:rPr>
                <a:t>Generate Rubric JSON-data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335CA-1191-438D-878A-D48582EA3248}">
  <sheetPr codeName="Sheet1"/>
  <dimension ref="A1:S187"/>
  <sheetViews>
    <sheetView tabSelected="1" zoomScaleNormal="100" workbookViewId="0">
      <pane ySplit="7" topLeftCell="A8" activePane="bottomLeft" state="frozen"/>
      <selection pane="bottomLeft" activeCell="H2" sqref="H2"/>
    </sheetView>
  </sheetViews>
  <sheetFormatPr defaultRowHeight="14.5" x14ac:dyDescent="0.35"/>
  <cols>
    <col min="1" max="1" width="11.453125" customWidth="1"/>
    <col min="2" max="2" width="1.81640625" customWidth="1"/>
    <col min="4" max="4" width="29.6328125" customWidth="1"/>
    <col min="5" max="5" width="10.90625" customWidth="1"/>
    <col min="6" max="10" width="35.6328125" customWidth="1"/>
    <col min="11" max="11" width="8.7265625" customWidth="1"/>
    <col min="12" max="12" width="8.7265625" style="25" hidden="1" customWidth="1"/>
    <col min="13" max="13" width="8.7265625" hidden="1" customWidth="1"/>
    <col min="14" max="15" width="0" hidden="1" customWidth="1"/>
    <col min="16" max="19" width="4.7265625" hidden="1" customWidth="1"/>
    <col min="20" max="20" width="0" hidden="1" customWidth="1"/>
  </cols>
  <sheetData>
    <row r="1" spans="1:19" s="1" customFormat="1" ht="21.5" thickBot="1" x14ac:dyDescent="0.55000000000000004">
      <c r="A1" s="1" t="s">
        <v>5</v>
      </c>
      <c r="H1" s="20" t="s">
        <v>15</v>
      </c>
      <c r="L1" s="21"/>
    </row>
    <row r="2" spans="1:19" s="2" customFormat="1" ht="34" thickBot="1" x14ac:dyDescent="0.8">
      <c r="A2" s="2" t="s">
        <v>6</v>
      </c>
      <c r="H2" s="26"/>
      <c r="I2" s="8" t="s">
        <v>14</v>
      </c>
      <c r="L2" s="22"/>
      <c r="M2" s="11"/>
    </row>
    <row r="3" spans="1:19" s="3" customFormat="1" ht="15" thickBot="1" x14ac:dyDescent="0.4">
      <c r="L3" s="23"/>
    </row>
    <row r="4" spans="1:19" s="3" customFormat="1" ht="15" thickBot="1" x14ac:dyDescent="0.4">
      <c r="A4" s="4" t="s">
        <v>22</v>
      </c>
      <c r="B4" s="4"/>
      <c r="C4" s="31"/>
      <c r="D4" s="32"/>
      <c r="E4" s="33"/>
      <c r="F4" s="6"/>
      <c r="L4" s="23"/>
    </row>
    <row r="5" spans="1:19" s="3" customFormat="1" ht="15" thickBot="1" x14ac:dyDescent="0.4">
      <c r="A5" s="4"/>
      <c r="B5" s="4"/>
      <c r="L5" s="23"/>
    </row>
    <row r="6" spans="1:19" s="3" customFormat="1" ht="15" thickBot="1" x14ac:dyDescent="0.4">
      <c r="A6" s="4" t="s">
        <v>23</v>
      </c>
      <c r="B6" s="4"/>
      <c r="C6" s="19">
        <f>SUM(M:M)</f>
        <v>5</v>
      </c>
      <c r="D6" s="4" t="s">
        <v>24</v>
      </c>
      <c r="E6" s="29">
        <f>COUNTIFS(L9:L99391,TRUE)</f>
        <v>1</v>
      </c>
      <c r="L6" s="23"/>
    </row>
    <row r="7" spans="1:19" s="5" customFormat="1" ht="15" thickBot="1" x14ac:dyDescent="0.4">
      <c r="L7" s="24"/>
    </row>
    <row r="8" spans="1:19" ht="15" thickTop="1" x14ac:dyDescent="0.35">
      <c r="F8" s="7"/>
      <c r="G8" s="7"/>
      <c r="H8" s="7"/>
      <c r="I8" s="7"/>
      <c r="J8" s="7"/>
    </row>
    <row r="9" spans="1:19" ht="18.5" x14ac:dyDescent="0.45">
      <c r="D9" s="34" t="s">
        <v>7</v>
      </c>
      <c r="E9" s="9"/>
      <c r="F9" s="14"/>
      <c r="G9" s="37"/>
      <c r="H9" s="37"/>
      <c r="I9" s="37"/>
      <c r="J9" s="38"/>
      <c r="L9" s="25" t="b">
        <f t="shared" ref="L9:L14" si="0">IF(AND(NOT(ISBLANK(D9)),MOD(ROW($D9),6)-1=0),TRUE,FALSE)</f>
        <v>0</v>
      </c>
    </row>
    <row r="10" spans="1:19" ht="20" customHeight="1" x14ac:dyDescent="0.35">
      <c r="D10" s="35"/>
      <c r="E10" s="10"/>
      <c r="F10" s="27" t="s">
        <v>2</v>
      </c>
      <c r="G10" s="27" t="s">
        <v>3</v>
      </c>
      <c r="H10" s="27" t="s">
        <v>0</v>
      </c>
      <c r="I10" s="27" t="s">
        <v>1</v>
      </c>
      <c r="J10" s="27" t="s">
        <v>4</v>
      </c>
      <c r="L10" s="25" t="b">
        <f t="shared" si="0"/>
        <v>0</v>
      </c>
    </row>
    <row r="11" spans="1:19" ht="20" customHeight="1" x14ac:dyDescent="0.35">
      <c r="D11" s="35"/>
      <c r="E11" s="28" t="s">
        <v>10</v>
      </c>
      <c r="F11" s="27">
        <v>5</v>
      </c>
      <c r="G11" s="27">
        <v>3.5</v>
      </c>
      <c r="H11" s="27">
        <v>2.5</v>
      </c>
      <c r="I11" s="27">
        <v>1.5</v>
      </c>
      <c r="J11" s="27">
        <v>0</v>
      </c>
      <c r="K11" s="17"/>
      <c r="L11" s="25" t="b">
        <f t="shared" si="0"/>
        <v>0</v>
      </c>
      <c r="M11">
        <f>_xlfn.MAXIFS(F11:J11,F10:J10,"&lt;&gt;")</f>
        <v>5</v>
      </c>
      <c r="N11" s="17"/>
      <c r="P11">
        <f>_xlfn.MAXIFS(G11:J11,G11:J11,"&lt;&gt;",G10:J10,"&lt;&gt;")</f>
        <v>3.5</v>
      </c>
      <c r="Q11">
        <f>_xlfn.MAXIFS(H11:J11,H11:J11,"&lt;&gt;",H10:J10,"&lt;&gt;")</f>
        <v>2.5</v>
      </c>
      <c r="R11">
        <f>_xlfn.MAXIFS(I11:J11,I11:J11,"&lt;&gt;",I10:J10,"&lt;&gt;")</f>
        <v>1.5</v>
      </c>
      <c r="S11">
        <f>_xlfn.MAXIFS(J11,J11,"&lt;&gt;",J10,"&lt;&gt;")</f>
        <v>0</v>
      </c>
    </row>
    <row r="12" spans="1:19" ht="20" customHeight="1" x14ac:dyDescent="0.35">
      <c r="D12" s="36"/>
      <c r="E12" s="12"/>
      <c r="F12" s="15" t="str">
        <f>IF($E11 = "Bereik", IF(F11 = P11, IF(ISBLANK(P11), 0, P11) &amp; " ptn", "" &amp; F11 &amp; " tot &gt; " &amp; IF(ISBLANK(P11), 0, P11) &amp; " ptn"), "")</f>
        <v/>
      </c>
      <c r="G12" s="15" t="str">
        <f>IF($E11 = "Bereik", IF(G11 = Q11, IF(ISBLANK(Q11), 0, Q11) &amp; " ptn", "" &amp; G11 &amp; " tot &gt; " &amp; IF(ISBLANK(Q11), 0, Q11) &amp; " ptn"), "")</f>
        <v/>
      </c>
      <c r="H12" s="15" t="str">
        <f t="shared" ref="H12:J12" si="1">IF($E11 = "Bereik", IF(H11 = R11, IF(ISBLANK(R11), 0, R11) &amp; " ptn", "" &amp; H11 &amp; " tot &gt; " &amp; IF(ISBLANK(R11), 0, R11) &amp; " ptn"), "")</f>
        <v/>
      </c>
      <c r="I12" s="15" t="str">
        <f t="shared" si="1"/>
        <v/>
      </c>
      <c r="J12" s="16" t="str">
        <f t="shared" si="1"/>
        <v/>
      </c>
      <c r="L12" s="25" t="b">
        <f t="shared" si="0"/>
        <v>0</v>
      </c>
    </row>
    <row r="13" spans="1:19" ht="74" customHeight="1" x14ac:dyDescent="0.35">
      <c r="D13" s="28" t="s">
        <v>12</v>
      </c>
      <c r="E13" s="13" t="s">
        <v>9</v>
      </c>
      <c r="F13" s="30" t="s">
        <v>16</v>
      </c>
      <c r="G13" s="30" t="s">
        <v>19</v>
      </c>
      <c r="H13" s="30" t="s">
        <v>17</v>
      </c>
      <c r="I13" s="30" t="s">
        <v>20</v>
      </c>
      <c r="J13" s="30" t="s">
        <v>18</v>
      </c>
      <c r="L13" s="25" t="b">
        <f t="shared" si="0"/>
        <v>1</v>
      </c>
    </row>
    <row r="14" spans="1:19" x14ac:dyDescent="0.35">
      <c r="L14" s="25" t="b">
        <f t="shared" si="0"/>
        <v>0</v>
      </c>
    </row>
    <row r="15" spans="1:19" ht="18.5" x14ac:dyDescent="0.45">
      <c r="D15" s="34" t="s">
        <v>7</v>
      </c>
      <c r="E15" s="9"/>
      <c r="F15" s="14"/>
      <c r="G15" s="37"/>
      <c r="H15" s="37"/>
      <c r="I15" s="37"/>
      <c r="J15" s="38"/>
      <c r="L15" s="25" t="b">
        <f t="shared" ref="L15:L20" si="2">IF(AND(NOT(ISBLANK(D15)),MOD(ROW($D15),6)-1=0),TRUE,FALSE)</f>
        <v>0</v>
      </c>
    </row>
    <row r="16" spans="1:19" ht="20" customHeight="1" x14ac:dyDescent="0.35">
      <c r="D16" s="35"/>
      <c r="E16" s="10"/>
      <c r="F16" s="27"/>
      <c r="G16" s="27"/>
      <c r="H16" s="27"/>
      <c r="I16" s="27"/>
      <c r="J16" s="27"/>
      <c r="L16" s="25" t="b">
        <f t="shared" si="2"/>
        <v>0</v>
      </c>
    </row>
    <row r="17" spans="4:19" ht="20" customHeight="1" x14ac:dyDescent="0.35">
      <c r="D17" s="35"/>
      <c r="E17" s="28" t="s">
        <v>10</v>
      </c>
      <c r="F17" s="27"/>
      <c r="G17" s="27"/>
      <c r="H17" s="27"/>
      <c r="I17" s="27"/>
      <c r="J17" s="27"/>
      <c r="K17" s="17"/>
      <c r="L17" s="25" t="b">
        <f t="shared" si="2"/>
        <v>0</v>
      </c>
      <c r="M17">
        <f>_xlfn.MAXIFS(F17:J17,F16:J16,"&lt;&gt;")</f>
        <v>0</v>
      </c>
      <c r="N17" s="17"/>
      <c r="P17">
        <f>_xlfn.MAXIFS(G17:J17,G17:J17,"&lt;&gt;",G16:J16,"&lt;&gt;")</f>
        <v>0</v>
      </c>
      <c r="Q17">
        <f>_xlfn.MAXIFS(H17:J17,H17:J17,"&lt;&gt;",H16:J16,"&lt;&gt;")</f>
        <v>0</v>
      </c>
      <c r="R17">
        <f>_xlfn.MAXIFS(I17:J17,I17:J17,"&lt;&gt;",I16:J16,"&lt;&gt;")</f>
        <v>0</v>
      </c>
      <c r="S17">
        <f>_xlfn.MAXIFS(J17,J17,"&lt;&gt;",J16,"&lt;&gt;")</f>
        <v>0</v>
      </c>
    </row>
    <row r="18" spans="4:19" ht="20" customHeight="1" x14ac:dyDescent="0.35">
      <c r="D18" s="36"/>
      <c r="E18" s="12"/>
      <c r="F18" s="15" t="str">
        <f>IF($E17 = "Bereik", IF(F17 = P17, IF(ISBLANK(P17), 0, P17) &amp; " ptn", "" &amp; F17 &amp; " tot &gt; " &amp; IF(ISBLANK(P17), 0, P17) &amp; " ptn"), "")</f>
        <v/>
      </c>
      <c r="G18" s="15" t="str">
        <f>IF($E17 = "Bereik", IF(G17 = Q17, IF(ISBLANK(Q17), 0, Q17) &amp; " ptn", "" &amp; G17 &amp; " tot &gt; " &amp; IF(ISBLANK(Q17), 0, Q17) &amp; " ptn"), "")</f>
        <v/>
      </c>
      <c r="H18" s="15" t="str">
        <f t="shared" ref="H18" si="3">IF($E17 = "Bereik", IF(H17 = R17, IF(ISBLANK(R17), 0, R17) &amp; " ptn", "" &amp; H17 &amp; " tot &gt; " &amp; IF(ISBLANK(R17), 0, R17) &amp; " ptn"), "")</f>
        <v/>
      </c>
      <c r="I18" s="15" t="str">
        <f t="shared" ref="I18" si="4">IF($E17 = "Bereik", IF(I17 = S17, IF(ISBLANK(S17), 0, S17) &amp; " ptn", "" &amp; I17 &amp; " tot &gt; " &amp; IF(ISBLANK(S17), 0, S17) &amp; " ptn"), "")</f>
        <v/>
      </c>
      <c r="J18" s="16" t="str">
        <f t="shared" ref="J18" si="5">IF($E17 = "Bereik", IF(J17 = T17, IF(ISBLANK(T17), 0, T17) &amp; " ptn", "" &amp; J17 &amp; " tot &gt; " &amp; IF(ISBLANK(T17), 0, T17) &amp; " ptn"), "")</f>
        <v/>
      </c>
      <c r="L18" s="25" t="b">
        <f t="shared" si="2"/>
        <v>0</v>
      </c>
    </row>
    <row r="19" spans="4:19" ht="74" customHeight="1" x14ac:dyDescent="0.35">
      <c r="D19" s="28"/>
      <c r="E19" s="13" t="s">
        <v>9</v>
      </c>
      <c r="F19" s="30"/>
      <c r="G19" s="30"/>
      <c r="H19" s="30"/>
      <c r="I19" s="30"/>
      <c r="J19" s="30"/>
      <c r="L19" s="25" t="b">
        <f t="shared" si="2"/>
        <v>0</v>
      </c>
    </row>
    <row r="20" spans="4:19" x14ac:dyDescent="0.35">
      <c r="L20" s="25" t="b">
        <f t="shared" si="2"/>
        <v>0</v>
      </c>
    </row>
    <row r="21" spans="4:19" ht="18.5" x14ac:dyDescent="0.45">
      <c r="D21" s="34" t="s">
        <v>7</v>
      </c>
      <c r="E21" s="9"/>
      <c r="F21" s="14"/>
      <c r="G21" s="37"/>
      <c r="H21" s="37"/>
      <c r="I21" s="37"/>
      <c r="J21" s="38"/>
      <c r="L21" s="25" t="b">
        <f t="shared" ref="L21:L38" si="6">IF(AND(NOT(ISBLANK(D21)),MOD(ROW($D21),6)-1=0),TRUE,FALSE)</f>
        <v>0</v>
      </c>
    </row>
    <row r="22" spans="4:19" ht="20" customHeight="1" x14ac:dyDescent="0.35">
      <c r="D22" s="35"/>
      <c r="E22" s="10"/>
      <c r="F22" s="27"/>
      <c r="G22" s="27"/>
      <c r="H22" s="27"/>
      <c r="I22" s="27"/>
      <c r="J22" s="27"/>
      <c r="L22" s="25" t="b">
        <f t="shared" si="6"/>
        <v>0</v>
      </c>
    </row>
    <row r="23" spans="4:19" ht="20" customHeight="1" x14ac:dyDescent="0.35">
      <c r="D23" s="35"/>
      <c r="E23" s="28" t="s">
        <v>10</v>
      </c>
      <c r="F23" s="27"/>
      <c r="G23" s="27"/>
      <c r="H23" s="27"/>
      <c r="I23" s="27"/>
      <c r="J23" s="27"/>
      <c r="K23" s="17"/>
      <c r="L23" s="25" t="b">
        <f t="shared" si="6"/>
        <v>0</v>
      </c>
      <c r="M23">
        <f>_xlfn.MAXIFS(F23:J23,F22:J22,"&lt;&gt;")</f>
        <v>0</v>
      </c>
      <c r="N23" s="17"/>
      <c r="P23">
        <f>_xlfn.MAXIFS(G23:J23,G23:J23,"&lt;&gt;",G22:J22,"&lt;&gt;")</f>
        <v>0</v>
      </c>
      <c r="Q23">
        <f>_xlfn.MAXIFS(H23:J23,H23:J23,"&lt;&gt;",H22:J22,"&lt;&gt;")</f>
        <v>0</v>
      </c>
      <c r="R23">
        <f>_xlfn.MAXIFS(I23:J23,I23:J23,"&lt;&gt;",I22:J22,"&lt;&gt;")</f>
        <v>0</v>
      </c>
      <c r="S23">
        <f>_xlfn.MAXIFS(J23,J23,"&lt;&gt;",J22,"&lt;&gt;")</f>
        <v>0</v>
      </c>
    </row>
    <row r="24" spans="4:19" ht="20" customHeight="1" x14ac:dyDescent="0.35">
      <c r="D24" s="36"/>
      <c r="E24" s="12"/>
      <c r="F24" s="15" t="str">
        <f>IF($E23 = "Bereik", IF(F23 = P23, IF(ISBLANK(P23), 0, P23) &amp; " ptn", "" &amp; F23 &amp; " tot &gt; " &amp; IF(ISBLANK(P23), 0, P23) &amp; " ptn"), "")</f>
        <v/>
      </c>
      <c r="G24" s="15" t="str">
        <f>IF($E23 = "Bereik", IF(G23 = Q23, IF(ISBLANK(Q23), 0, Q23) &amp; " ptn", "" &amp; G23 &amp; " tot &gt; " &amp; IF(ISBLANK(Q23), 0, Q23) &amp; " ptn"), "")</f>
        <v/>
      </c>
      <c r="H24" s="15" t="str">
        <f t="shared" ref="H24" si="7">IF($E23 = "Bereik", IF(H23 = R23, IF(ISBLANK(R23), 0, R23) &amp; " ptn", "" &amp; H23 &amp; " tot &gt; " &amp; IF(ISBLANK(R23), 0, R23) &amp; " ptn"), "")</f>
        <v/>
      </c>
      <c r="I24" s="15" t="str">
        <f t="shared" ref="I24" si="8">IF($E23 = "Bereik", IF(I23 = S23, IF(ISBLANK(S23), 0, S23) &amp; " ptn", "" &amp; I23 &amp; " tot &gt; " &amp; IF(ISBLANK(S23), 0, S23) &amp; " ptn"), "")</f>
        <v/>
      </c>
      <c r="J24" s="16" t="str">
        <f t="shared" ref="J24" si="9">IF($E23 = "Bereik", IF(J23 = T23, IF(ISBLANK(T23), 0, T23) &amp; " ptn", "" &amp; J23 &amp; " tot &gt; " &amp; IF(ISBLANK(T23), 0, T23) &amp; " ptn"), "")</f>
        <v/>
      </c>
      <c r="L24" s="25" t="b">
        <f t="shared" si="6"/>
        <v>0</v>
      </c>
    </row>
    <row r="25" spans="4:19" ht="74" customHeight="1" x14ac:dyDescent="0.35">
      <c r="D25" s="28"/>
      <c r="E25" s="13" t="s">
        <v>9</v>
      </c>
      <c r="F25" s="30"/>
      <c r="G25" s="30"/>
      <c r="H25" s="30"/>
      <c r="I25" s="30"/>
      <c r="J25" s="30"/>
      <c r="L25" s="25" t="b">
        <f t="shared" si="6"/>
        <v>0</v>
      </c>
    </row>
    <row r="26" spans="4:19" x14ac:dyDescent="0.35">
      <c r="L26" s="25" t="b">
        <f t="shared" si="6"/>
        <v>0</v>
      </c>
    </row>
    <row r="27" spans="4:19" ht="18.5" x14ac:dyDescent="0.45">
      <c r="D27" s="34" t="s">
        <v>7</v>
      </c>
      <c r="E27" s="9"/>
      <c r="F27" s="14"/>
      <c r="G27" s="37"/>
      <c r="H27" s="37"/>
      <c r="I27" s="37"/>
      <c r="J27" s="38"/>
      <c r="L27" s="25" t="b">
        <f t="shared" si="6"/>
        <v>0</v>
      </c>
    </row>
    <row r="28" spans="4:19" ht="20" customHeight="1" x14ac:dyDescent="0.35">
      <c r="D28" s="35"/>
      <c r="E28" s="10"/>
      <c r="F28" s="27"/>
      <c r="G28" s="27"/>
      <c r="H28" s="27"/>
      <c r="I28" s="27"/>
      <c r="J28" s="27"/>
      <c r="L28" s="25" t="b">
        <f t="shared" si="6"/>
        <v>0</v>
      </c>
    </row>
    <row r="29" spans="4:19" ht="20" customHeight="1" x14ac:dyDescent="0.35">
      <c r="D29" s="35"/>
      <c r="E29" s="28" t="s">
        <v>10</v>
      </c>
      <c r="F29" s="27"/>
      <c r="G29" s="27"/>
      <c r="H29" s="27"/>
      <c r="I29" s="27"/>
      <c r="J29" s="27"/>
      <c r="K29" s="17"/>
      <c r="L29" s="25" t="b">
        <f t="shared" si="6"/>
        <v>0</v>
      </c>
      <c r="M29">
        <f>_xlfn.MAXIFS(F29:J29,F28:J28,"&lt;&gt;")</f>
        <v>0</v>
      </c>
      <c r="N29" s="17"/>
      <c r="P29">
        <f>_xlfn.MAXIFS(G29:J29,G29:J29,"&lt;&gt;",G28:J28,"&lt;&gt;")</f>
        <v>0</v>
      </c>
      <c r="Q29">
        <f>_xlfn.MAXIFS(H29:J29,H29:J29,"&lt;&gt;",H28:J28,"&lt;&gt;")</f>
        <v>0</v>
      </c>
      <c r="R29">
        <f>_xlfn.MAXIFS(I29:J29,I29:J29,"&lt;&gt;",I28:J28,"&lt;&gt;")</f>
        <v>0</v>
      </c>
      <c r="S29">
        <f>_xlfn.MAXIFS(J29,J29,"&lt;&gt;",J28,"&lt;&gt;")</f>
        <v>0</v>
      </c>
    </row>
    <row r="30" spans="4:19" ht="20" customHeight="1" x14ac:dyDescent="0.35">
      <c r="D30" s="36"/>
      <c r="E30" s="12"/>
      <c r="F30" s="15" t="str">
        <f>IF($E29 = "Bereik", IF(F29 = P29, IF(ISBLANK(P29), 0, P29) &amp; " ptn", "" &amp; F29 &amp; " tot &gt; " &amp; IF(ISBLANK(P29), 0, P29) &amp; " ptn"), "")</f>
        <v/>
      </c>
      <c r="G30" s="15" t="str">
        <f>IF($E29 = "Bereik", IF(G29 = Q29, IF(ISBLANK(Q29), 0, Q29) &amp; " ptn", "" &amp; G29 &amp; " tot &gt; " &amp; IF(ISBLANK(Q29), 0, Q29) &amp; " ptn"), "")</f>
        <v/>
      </c>
      <c r="H30" s="15" t="str">
        <f t="shared" ref="H30" si="10">IF($E29 = "Bereik", IF(H29 = R29, IF(ISBLANK(R29), 0, R29) &amp; " ptn", "" &amp; H29 &amp; " tot &gt; " &amp; IF(ISBLANK(R29), 0, R29) &amp; " ptn"), "")</f>
        <v/>
      </c>
      <c r="I30" s="15" t="str">
        <f t="shared" ref="I30" si="11">IF($E29 = "Bereik", IF(I29 = S29, IF(ISBLANK(S29), 0, S29) &amp; " ptn", "" &amp; I29 &amp; " tot &gt; " &amp; IF(ISBLANK(S29), 0, S29) &amp; " ptn"), "")</f>
        <v/>
      </c>
      <c r="J30" s="16" t="str">
        <f t="shared" ref="J30" si="12">IF($E29 = "Bereik", IF(J29 = T29, IF(ISBLANK(T29), 0, T29) &amp; " ptn", "" &amp; J29 &amp; " tot &gt; " &amp; IF(ISBLANK(T29), 0, T29) &amp; " ptn"), "")</f>
        <v/>
      </c>
      <c r="L30" s="25" t="b">
        <f t="shared" si="6"/>
        <v>0</v>
      </c>
    </row>
    <row r="31" spans="4:19" ht="74" customHeight="1" x14ac:dyDescent="0.35">
      <c r="D31" s="28"/>
      <c r="E31" s="13" t="s">
        <v>9</v>
      </c>
      <c r="F31" s="30"/>
      <c r="G31" s="30"/>
      <c r="H31" s="30"/>
      <c r="I31" s="30"/>
      <c r="J31" s="30"/>
      <c r="L31" s="25" t="b">
        <f t="shared" si="6"/>
        <v>0</v>
      </c>
    </row>
    <row r="32" spans="4:19" x14ac:dyDescent="0.35">
      <c r="L32" s="25" t="b">
        <f t="shared" si="6"/>
        <v>0</v>
      </c>
    </row>
    <row r="33" spans="4:19" ht="18.5" x14ac:dyDescent="0.45">
      <c r="D33" s="34" t="s">
        <v>7</v>
      </c>
      <c r="E33" s="9"/>
      <c r="F33" s="14"/>
      <c r="G33" s="37"/>
      <c r="H33" s="37"/>
      <c r="I33" s="37"/>
      <c r="J33" s="38"/>
      <c r="L33" s="25" t="b">
        <f t="shared" si="6"/>
        <v>0</v>
      </c>
    </row>
    <row r="34" spans="4:19" ht="20" customHeight="1" x14ac:dyDescent="0.35">
      <c r="D34" s="35"/>
      <c r="E34" s="10"/>
      <c r="F34" s="27"/>
      <c r="G34" s="27"/>
      <c r="H34" s="27"/>
      <c r="I34" s="27"/>
      <c r="J34" s="27"/>
      <c r="L34" s="25" t="b">
        <f t="shared" si="6"/>
        <v>0</v>
      </c>
    </row>
    <row r="35" spans="4:19" ht="20" customHeight="1" x14ac:dyDescent="0.35">
      <c r="D35" s="35"/>
      <c r="E35" s="28" t="s">
        <v>10</v>
      </c>
      <c r="F35" s="27"/>
      <c r="G35" s="27"/>
      <c r="H35" s="27"/>
      <c r="I35" s="27"/>
      <c r="J35" s="27"/>
      <c r="K35" s="17"/>
      <c r="L35" s="25" t="b">
        <f t="shared" si="6"/>
        <v>0</v>
      </c>
      <c r="M35">
        <f>_xlfn.MAXIFS(F35:J35,F34:J34,"&lt;&gt;")</f>
        <v>0</v>
      </c>
      <c r="N35" s="17"/>
      <c r="P35">
        <f>_xlfn.MAXIFS(G35:J35,G35:J35,"&lt;&gt;",G34:J34,"&lt;&gt;")</f>
        <v>0</v>
      </c>
      <c r="Q35">
        <f>_xlfn.MAXIFS(H35:J35,H35:J35,"&lt;&gt;",H34:J34,"&lt;&gt;")</f>
        <v>0</v>
      </c>
      <c r="R35">
        <f>_xlfn.MAXIFS(I35:J35,I35:J35,"&lt;&gt;",I34:J34,"&lt;&gt;")</f>
        <v>0</v>
      </c>
      <c r="S35">
        <f>_xlfn.MAXIFS(J35,J35,"&lt;&gt;",J34,"&lt;&gt;")</f>
        <v>0</v>
      </c>
    </row>
    <row r="36" spans="4:19" ht="20" customHeight="1" x14ac:dyDescent="0.35">
      <c r="D36" s="36"/>
      <c r="E36" s="12"/>
      <c r="F36" s="15" t="str">
        <f>IF($E35 = "Bereik", IF(F35 = P35, IF(ISBLANK(P35), 0, P35) &amp; " ptn", "" &amp; F35 &amp; " tot &gt; " &amp; IF(ISBLANK(P35), 0, P35) &amp; " ptn"), "")</f>
        <v/>
      </c>
      <c r="G36" s="15" t="str">
        <f>IF($E35 = "Bereik", IF(G35 = Q35, IF(ISBLANK(Q35), 0, Q35) &amp; " ptn", "" &amp; G35 &amp; " tot &gt; " &amp; IF(ISBLANK(Q35), 0, Q35) &amp; " ptn"), "")</f>
        <v/>
      </c>
      <c r="H36" s="15" t="str">
        <f t="shared" ref="H36" si="13">IF($E35 = "Bereik", IF(H35 = R35, IF(ISBLANK(R35), 0, R35) &amp; " ptn", "" &amp; H35 &amp; " tot &gt; " &amp; IF(ISBLANK(R35), 0, R35) &amp; " ptn"), "")</f>
        <v/>
      </c>
      <c r="I36" s="15" t="str">
        <f t="shared" ref="I36" si="14">IF($E35 = "Bereik", IF(I35 = S35, IF(ISBLANK(S35), 0, S35) &amp; " ptn", "" &amp; I35 &amp; " tot &gt; " &amp; IF(ISBLANK(S35), 0, S35) &amp; " ptn"), "")</f>
        <v/>
      </c>
      <c r="J36" s="16" t="str">
        <f t="shared" ref="J36" si="15">IF($E35 = "Bereik", IF(J35 = T35, IF(ISBLANK(T35), 0, T35) &amp; " ptn", "" &amp; J35 &amp; " tot &gt; " &amp; IF(ISBLANK(T35), 0, T35) &amp; " ptn"), "")</f>
        <v/>
      </c>
      <c r="L36" s="25" t="b">
        <f t="shared" si="6"/>
        <v>0</v>
      </c>
    </row>
    <row r="37" spans="4:19" ht="74" customHeight="1" x14ac:dyDescent="0.35">
      <c r="D37" s="28"/>
      <c r="E37" s="13" t="s">
        <v>9</v>
      </c>
      <c r="F37" s="30"/>
      <c r="G37" s="30"/>
      <c r="H37" s="30"/>
      <c r="I37" s="30"/>
      <c r="J37" s="30"/>
      <c r="L37" s="25" t="b">
        <f t="shared" si="6"/>
        <v>0</v>
      </c>
    </row>
    <row r="38" spans="4:19" x14ac:dyDescent="0.35">
      <c r="L38" s="25" t="b">
        <f t="shared" si="6"/>
        <v>0</v>
      </c>
    </row>
    <row r="39" spans="4:19" ht="18.5" x14ac:dyDescent="0.45">
      <c r="D39" s="34" t="s">
        <v>7</v>
      </c>
      <c r="E39" s="9"/>
      <c r="F39" s="14"/>
      <c r="G39" s="37"/>
      <c r="H39" s="37"/>
      <c r="I39" s="37"/>
      <c r="J39" s="38"/>
      <c r="L39" s="25" t="b">
        <f t="shared" ref="L39:L68" si="16">IF(AND(NOT(ISBLANK(D39)),MOD(ROW($D39),6)-1=0),TRUE,FALSE)</f>
        <v>0</v>
      </c>
    </row>
    <row r="40" spans="4:19" ht="20" customHeight="1" x14ac:dyDescent="0.35">
      <c r="D40" s="35"/>
      <c r="E40" s="10"/>
      <c r="F40" s="27"/>
      <c r="G40" s="27"/>
      <c r="H40" s="27"/>
      <c r="I40" s="27"/>
      <c r="J40" s="27"/>
      <c r="L40" s="25" t="b">
        <f t="shared" si="16"/>
        <v>0</v>
      </c>
    </row>
    <row r="41" spans="4:19" ht="20" customHeight="1" x14ac:dyDescent="0.35">
      <c r="D41" s="35"/>
      <c r="E41" s="28" t="s">
        <v>10</v>
      </c>
      <c r="F41" s="27"/>
      <c r="G41" s="27"/>
      <c r="H41" s="27"/>
      <c r="I41" s="27"/>
      <c r="J41" s="27"/>
      <c r="K41" s="17"/>
      <c r="L41" s="25" t="b">
        <f t="shared" si="16"/>
        <v>0</v>
      </c>
      <c r="M41">
        <f>_xlfn.MAXIFS(F41:J41,F40:J40,"&lt;&gt;")</f>
        <v>0</v>
      </c>
      <c r="N41" s="17"/>
      <c r="P41">
        <f>_xlfn.MAXIFS(G41:J41,G41:J41,"&lt;&gt;",G40:J40,"&lt;&gt;")</f>
        <v>0</v>
      </c>
      <c r="Q41">
        <f>_xlfn.MAXIFS(H41:J41,H41:J41,"&lt;&gt;",H40:J40,"&lt;&gt;")</f>
        <v>0</v>
      </c>
      <c r="R41">
        <f>_xlfn.MAXIFS(I41:J41,I41:J41,"&lt;&gt;",I40:J40,"&lt;&gt;")</f>
        <v>0</v>
      </c>
      <c r="S41">
        <f>_xlfn.MAXIFS(J41,J41,"&lt;&gt;",J40,"&lt;&gt;")</f>
        <v>0</v>
      </c>
    </row>
    <row r="42" spans="4:19" ht="20" customHeight="1" x14ac:dyDescent="0.35">
      <c r="D42" s="36"/>
      <c r="E42" s="12"/>
      <c r="F42" s="15" t="str">
        <f>IF($E41 = "Bereik", IF(F41 = P41, IF(ISBLANK(P41), 0, P41) &amp; " ptn", "" &amp; F41 &amp; " tot &gt; " &amp; IF(ISBLANK(P41), 0, P41) &amp; " ptn"), "")</f>
        <v/>
      </c>
      <c r="G42" s="15" t="str">
        <f>IF($E41 = "Bereik", IF(G41 = Q41, IF(ISBLANK(Q41), 0, Q41) &amp; " ptn", "" &amp; G41 &amp; " tot &gt; " &amp; IF(ISBLANK(Q41), 0, Q41) &amp; " ptn"), "")</f>
        <v/>
      </c>
      <c r="H42" s="15" t="str">
        <f t="shared" ref="H42" si="17">IF($E41 = "Bereik", IF(H41 = R41, IF(ISBLANK(R41), 0, R41) &amp; " ptn", "" &amp; H41 &amp; " tot &gt; " &amp; IF(ISBLANK(R41), 0, R41) &amp; " ptn"), "")</f>
        <v/>
      </c>
      <c r="I42" s="15" t="str">
        <f t="shared" ref="I42" si="18">IF($E41 = "Bereik", IF(I41 = S41, IF(ISBLANK(S41), 0, S41) &amp; " ptn", "" &amp; I41 &amp; " tot &gt; " &amp; IF(ISBLANK(S41), 0, S41) &amp; " ptn"), "")</f>
        <v/>
      </c>
      <c r="J42" s="16" t="str">
        <f t="shared" ref="J42" si="19">IF($E41 = "Bereik", IF(J41 = T41, IF(ISBLANK(T41), 0, T41) &amp; " ptn", "" &amp; J41 &amp; " tot &gt; " &amp; IF(ISBLANK(T41), 0, T41) &amp; " ptn"), "")</f>
        <v/>
      </c>
      <c r="L42" s="25" t="b">
        <f t="shared" si="16"/>
        <v>0</v>
      </c>
    </row>
    <row r="43" spans="4:19" ht="74" customHeight="1" x14ac:dyDescent="0.35">
      <c r="D43" s="28"/>
      <c r="E43" s="13" t="s">
        <v>9</v>
      </c>
      <c r="F43" s="30"/>
      <c r="G43" s="30"/>
      <c r="H43" s="30"/>
      <c r="I43" s="30"/>
      <c r="J43" s="30"/>
      <c r="L43" s="25" t="b">
        <f t="shared" si="16"/>
        <v>0</v>
      </c>
    </row>
    <row r="44" spans="4:19" x14ac:dyDescent="0.35">
      <c r="L44" s="25" t="b">
        <f t="shared" si="16"/>
        <v>0</v>
      </c>
    </row>
    <row r="45" spans="4:19" ht="18.5" x14ac:dyDescent="0.45">
      <c r="D45" s="34" t="s">
        <v>7</v>
      </c>
      <c r="E45" s="9"/>
      <c r="F45" s="14"/>
      <c r="G45" s="37"/>
      <c r="H45" s="37"/>
      <c r="I45" s="37"/>
      <c r="J45" s="38"/>
      <c r="L45" s="25" t="b">
        <f t="shared" si="16"/>
        <v>0</v>
      </c>
    </row>
    <row r="46" spans="4:19" ht="20" customHeight="1" x14ac:dyDescent="0.35">
      <c r="D46" s="35"/>
      <c r="E46" s="10"/>
      <c r="F46" s="27"/>
      <c r="G46" s="27"/>
      <c r="H46" s="27"/>
      <c r="I46" s="27"/>
      <c r="J46" s="27"/>
      <c r="L46" s="25" t="b">
        <f t="shared" si="16"/>
        <v>0</v>
      </c>
    </row>
    <row r="47" spans="4:19" ht="20" customHeight="1" x14ac:dyDescent="0.35">
      <c r="D47" s="35"/>
      <c r="E47" s="28" t="s">
        <v>10</v>
      </c>
      <c r="F47" s="27"/>
      <c r="G47" s="27"/>
      <c r="H47" s="27"/>
      <c r="I47" s="27"/>
      <c r="J47" s="27"/>
      <c r="K47" s="17"/>
      <c r="L47" s="25" t="b">
        <f t="shared" si="16"/>
        <v>0</v>
      </c>
      <c r="M47">
        <f>_xlfn.MAXIFS(F47:J47,F46:J46,"&lt;&gt;")</f>
        <v>0</v>
      </c>
      <c r="N47" s="17"/>
      <c r="P47">
        <f>_xlfn.MAXIFS(G47:J47,G47:J47,"&lt;&gt;",G46:J46,"&lt;&gt;")</f>
        <v>0</v>
      </c>
      <c r="Q47">
        <f>_xlfn.MAXIFS(H47:J47,H47:J47,"&lt;&gt;",H46:J46,"&lt;&gt;")</f>
        <v>0</v>
      </c>
      <c r="R47">
        <f>_xlfn.MAXIFS(I47:J47,I47:J47,"&lt;&gt;",I46:J46,"&lt;&gt;")</f>
        <v>0</v>
      </c>
      <c r="S47">
        <f>_xlfn.MAXIFS(J47,J47,"&lt;&gt;",J46,"&lt;&gt;")</f>
        <v>0</v>
      </c>
    </row>
    <row r="48" spans="4:19" ht="20" customHeight="1" x14ac:dyDescent="0.35">
      <c r="D48" s="36"/>
      <c r="E48" s="12"/>
      <c r="F48" s="15" t="str">
        <f>IF($E47 = "Bereik", IF(F47 = P47, IF(ISBLANK(P47), 0, P47) &amp; " ptn", "" &amp; F47 &amp; " tot &gt; " &amp; IF(ISBLANK(P47), 0, P47) &amp; " ptn"), "")</f>
        <v/>
      </c>
      <c r="G48" s="15" t="str">
        <f>IF($E47 = "Bereik", IF(G47 = Q47, IF(ISBLANK(Q47), 0, Q47) &amp; " ptn", "" &amp; G47 &amp; " tot &gt; " &amp; IF(ISBLANK(Q47), 0, Q47) &amp; " ptn"), "")</f>
        <v/>
      </c>
      <c r="H48" s="15" t="str">
        <f t="shared" ref="H48" si="20">IF($E47 = "Bereik", IF(H47 = R47, IF(ISBLANK(R47), 0, R47) &amp; " ptn", "" &amp; H47 &amp; " tot &gt; " &amp; IF(ISBLANK(R47), 0, R47) &amp; " ptn"), "")</f>
        <v/>
      </c>
      <c r="I48" s="15" t="str">
        <f t="shared" ref="I48" si="21">IF($E47 = "Bereik", IF(I47 = S47, IF(ISBLANK(S47), 0, S47) &amp; " ptn", "" &amp; I47 &amp; " tot &gt; " &amp; IF(ISBLANK(S47), 0, S47) &amp; " ptn"), "")</f>
        <v/>
      </c>
      <c r="J48" s="16" t="str">
        <f t="shared" ref="J48" si="22">IF($E47 = "Bereik", IF(J47 = T47, IF(ISBLANK(T47), 0, T47) &amp; " ptn", "" &amp; J47 &amp; " tot &gt; " &amp; IF(ISBLANK(T47), 0, T47) &amp; " ptn"), "")</f>
        <v/>
      </c>
      <c r="L48" s="25" t="b">
        <f t="shared" si="16"/>
        <v>0</v>
      </c>
    </row>
    <row r="49" spans="4:19" ht="74" customHeight="1" x14ac:dyDescent="0.35">
      <c r="D49" s="28"/>
      <c r="E49" s="13" t="s">
        <v>9</v>
      </c>
      <c r="F49" s="30"/>
      <c r="G49" s="30"/>
      <c r="H49" s="30"/>
      <c r="I49" s="30"/>
      <c r="J49" s="30"/>
      <c r="L49" s="25" t="b">
        <f t="shared" si="16"/>
        <v>0</v>
      </c>
    </row>
    <row r="50" spans="4:19" x14ac:dyDescent="0.35">
      <c r="L50" s="25" t="b">
        <f t="shared" si="16"/>
        <v>0</v>
      </c>
    </row>
    <row r="51" spans="4:19" ht="18.5" x14ac:dyDescent="0.45">
      <c r="D51" s="34" t="s">
        <v>7</v>
      </c>
      <c r="E51" s="9"/>
      <c r="F51" s="14"/>
      <c r="G51" s="37"/>
      <c r="H51" s="37"/>
      <c r="I51" s="37"/>
      <c r="J51" s="38"/>
      <c r="L51" s="25" t="b">
        <f t="shared" si="16"/>
        <v>0</v>
      </c>
    </row>
    <row r="52" spans="4:19" ht="20" customHeight="1" x14ac:dyDescent="0.35">
      <c r="D52" s="35"/>
      <c r="E52" s="10"/>
      <c r="F52" s="27"/>
      <c r="G52" s="27"/>
      <c r="H52" s="27"/>
      <c r="I52" s="27"/>
      <c r="J52" s="27"/>
      <c r="L52" s="25" t="b">
        <f t="shared" si="16"/>
        <v>0</v>
      </c>
    </row>
    <row r="53" spans="4:19" ht="20" customHeight="1" x14ac:dyDescent="0.35">
      <c r="D53" s="35"/>
      <c r="E53" s="28" t="s">
        <v>10</v>
      </c>
      <c r="F53" s="27"/>
      <c r="G53" s="27"/>
      <c r="H53" s="27"/>
      <c r="I53" s="27"/>
      <c r="J53" s="27"/>
      <c r="K53" s="17"/>
      <c r="L53" s="25" t="b">
        <f t="shared" si="16"/>
        <v>0</v>
      </c>
      <c r="M53">
        <f>_xlfn.MAXIFS(F53:J53,F52:J52,"&lt;&gt;")</f>
        <v>0</v>
      </c>
      <c r="N53" s="17"/>
      <c r="P53">
        <f>_xlfn.MAXIFS(G53:J53,G53:J53,"&lt;&gt;",G52:J52,"&lt;&gt;")</f>
        <v>0</v>
      </c>
      <c r="Q53">
        <f>_xlfn.MAXIFS(H53:J53,H53:J53,"&lt;&gt;",H52:J52,"&lt;&gt;")</f>
        <v>0</v>
      </c>
      <c r="R53">
        <f>_xlfn.MAXIFS(I53:J53,I53:J53,"&lt;&gt;",I52:J52,"&lt;&gt;")</f>
        <v>0</v>
      </c>
      <c r="S53">
        <f>_xlfn.MAXIFS(J53,J53,"&lt;&gt;",J52,"&lt;&gt;")</f>
        <v>0</v>
      </c>
    </row>
    <row r="54" spans="4:19" ht="20" customHeight="1" x14ac:dyDescent="0.35">
      <c r="D54" s="36"/>
      <c r="E54" s="12"/>
      <c r="F54" s="15" t="str">
        <f>IF($E53 = "Bereik", IF(F53 = P53, IF(ISBLANK(P53), 0, P53) &amp; " ptn", "" &amp; F53 &amp; " tot &gt; " &amp; IF(ISBLANK(P53), 0, P53) &amp; " ptn"), "")</f>
        <v/>
      </c>
      <c r="G54" s="15" t="str">
        <f>IF($E53 = "Bereik", IF(G53 = Q53, IF(ISBLANK(Q53), 0, Q53) &amp; " ptn", "" &amp; G53 &amp; " tot &gt; " &amp; IF(ISBLANK(Q53), 0, Q53) &amp; " ptn"), "")</f>
        <v/>
      </c>
      <c r="H54" s="15" t="str">
        <f t="shared" ref="H54" si="23">IF($E53 = "Bereik", IF(H53 = R53, IF(ISBLANK(R53), 0, R53) &amp; " ptn", "" &amp; H53 &amp; " tot &gt; " &amp; IF(ISBLANK(R53), 0, R53) &amp; " ptn"), "")</f>
        <v/>
      </c>
      <c r="I54" s="15" t="str">
        <f t="shared" ref="I54" si="24">IF($E53 = "Bereik", IF(I53 = S53, IF(ISBLANK(S53), 0, S53) &amp; " ptn", "" &amp; I53 &amp; " tot &gt; " &amp; IF(ISBLANK(S53), 0, S53) &amp; " ptn"), "")</f>
        <v/>
      </c>
      <c r="J54" s="16" t="str">
        <f t="shared" ref="J54" si="25">IF($E53 = "Bereik", IF(J53 = T53, IF(ISBLANK(T53), 0, T53) &amp; " ptn", "" &amp; J53 &amp; " tot &gt; " &amp; IF(ISBLANK(T53), 0, T53) &amp; " ptn"), "")</f>
        <v/>
      </c>
      <c r="L54" s="25" t="b">
        <f t="shared" si="16"/>
        <v>0</v>
      </c>
    </row>
    <row r="55" spans="4:19" ht="74" customHeight="1" x14ac:dyDescent="0.35">
      <c r="D55" s="28"/>
      <c r="E55" s="13" t="s">
        <v>9</v>
      </c>
      <c r="F55" s="30"/>
      <c r="G55" s="30"/>
      <c r="H55" s="30"/>
      <c r="I55" s="30"/>
      <c r="J55" s="30"/>
      <c r="L55" s="25" t="b">
        <f t="shared" si="16"/>
        <v>0</v>
      </c>
    </row>
    <row r="56" spans="4:19" x14ac:dyDescent="0.35">
      <c r="L56" s="25" t="b">
        <f t="shared" si="16"/>
        <v>0</v>
      </c>
    </row>
    <row r="57" spans="4:19" ht="18.5" x14ac:dyDescent="0.45">
      <c r="D57" s="34" t="s">
        <v>7</v>
      </c>
      <c r="E57" s="9"/>
      <c r="F57" s="14"/>
      <c r="G57" s="37"/>
      <c r="H57" s="37"/>
      <c r="I57" s="37"/>
      <c r="J57" s="38"/>
      <c r="L57" s="25" t="b">
        <f t="shared" si="16"/>
        <v>0</v>
      </c>
    </row>
    <row r="58" spans="4:19" ht="20" customHeight="1" x14ac:dyDescent="0.35">
      <c r="D58" s="35"/>
      <c r="E58" s="10"/>
      <c r="F58" s="27"/>
      <c r="G58" s="27"/>
      <c r="H58" s="27"/>
      <c r="I58" s="27"/>
      <c r="J58" s="27"/>
      <c r="L58" s="25" t="b">
        <f t="shared" si="16"/>
        <v>0</v>
      </c>
    </row>
    <row r="59" spans="4:19" ht="20" customHeight="1" x14ac:dyDescent="0.35">
      <c r="D59" s="35"/>
      <c r="E59" s="28" t="s">
        <v>10</v>
      </c>
      <c r="F59" s="27"/>
      <c r="G59" s="27"/>
      <c r="H59" s="27"/>
      <c r="I59" s="27"/>
      <c r="J59" s="27"/>
      <c r="K59" s="17"/>
      <c r="L59" s="25" t="b">
        <f t="shared" si="16"/>
        <v>0</v>
      </c>
      <c r="M59">
        <f>_xlfn.MAXIFS(F59:J59,F58:J58,"&lt;&gt;")</f>
        <v>0</v>
      </c>
      <c r="N59" s="17"/>
      <c r="P59">
        <f>_xlfn.MAXIFS(G59:J59,G59:J59,"&lt;&gt;",G58:J58,"&lt;&gt;")</f>
        <v>0</v>
      </c>
      <c r="Q59">
        <f>_xlfn.MAXIFS(H59:J59,H59:J59,"&lt;&gt;",H58:J58,"&lt;&gt;")</f>
        <v>0</v>
      </c>
      <c r="R59">
        <f>_xlfn.MAXIFS(I59:J59,I59:J59,"&lt;&gt;",I58:J58,"&lt;&gt;")</f>
        <v>0</v>
      </c>
      <c r="S59">
        <f>_xlfn.MAXIFS(J59,J59,"&lt;&gt;",J58,"&lt;&gt;")</f>
        <v>0</v>
      </c>
    </row>
    <row r="60" spans="4:19" ht="20" customHeight="1" x14ac:dyDescent="0.35">
      <c r="D60" s="36"/>
      <c r="E60" s="12"/>
      <c r="F60" s="15" t="str">
        <f>IF($E59 = "Bereik", IF(F59 = P59, IF(ISBLANK(P59), 0, P59) &amp; " ptn", "" &amp; F59 &amp; " tot &gt; " &amp; IF(ISBLANK(P59), 0, P59) &amp; " ptn"), "")</f>
        <v/>
      </c>
      <c r="G60" s="15" t="str">
        <f>IF($E59 = "Bereik", IF(G59 = Q59, IF(ISBLANK(Q59), 0, Q59) &amp; " ptn", "" &amp; G59 &amp; " tot &gt; " &amp; IF(ISBLANK(Q59), 0, Q59) &amp; " ptn"), "")</f>
        <v/>
      </c>
      <c r="H60" s="15" t="str">
        <f t="shared" ref="H60" si="26">IF($E59 = "Bereik", IF(H59 = R59, IF(ISBLANK(R59), 0, R59) &amp; " ptn", "" &amp; H59 &amp; " tot &gt; " &amp; IF(ISBLANK(R59), 0, R59) &amp; " ptn"), "")</f>
        <v/>
      </c>
      <c r="I60" s="15" t="str">
        <f t="shared" ref="I60" si="27">IF($E59 = "Bereik", IF(I59 = S59, IF(ISBLANK(S59), 0, S59) &amp; " ptn", "" &amp; I59 &amp; " tot &gt; " &amp; IF(ISBLANK(S59), 0, S59) &amp; " ptn"), "")</f>
        <v/>
      </c>
      <c r="J60" s="16" t="str">
        <f t="shared" ref="J60" si="28">IF($E59 = "Bereik", IF(J59 = T59, IF(ISBLANK(T59), 0, T59) &amp; " ptn", "" &amp; J59 &amp; " tot &gt; " &amp; IF(ISBLANK(T59), 0, T59) &amp; " ptn"), "")</f>
        <v/>
      </c>
      <c r="L60" s="25" t="b">
        <f t="shared" si="16"/>
        <v>0</v>
      </c>
    </row>
    <row r="61" spans="4:19" ht="74" customHeight="1" x14ac:dyDescent="0.35">
      <c r="D61" s="28"/>
      <c r="E61" s="13" t="s">
        <v>9</v>
      </c>
      <c r="F61" s="30"/>
      <c r="G61" s="30"/>
      <c r="H61" s="30"/>
      <c r="I61" s="30"/>
      <c r="J61" s="30"/>
      <c r="L61" s="25" t="b">
        <f t="shared" si="16"/>
        <v>0</v>
      </c>
    </row>
    <row r="62" spans="4:19" x14ac:dyDescent="0.35">
      <c r="L62" s="25" t="b">
        <f t="shared" si="16"/>
        <v>0</v>
      </c>
    </row>
    <row r="63" spans="4:19" ht="18.5" x14ac:dyDescent="0.45">
      <c r="D63" s="34" t="s">
        <v>7</v>
      </c>
      <c r="E63" s="9"/>
      <c r="F63" s="14"/>
      <c r="G63" s="37"/>
      <c r="H63" s="37"/>
      <c r="I63" s="37"/>
      <c r="J63" s="38"/>
      <c r="L63" s="25" t="b">
        <f t="shared" si="16"/>
        <v>0</v>
      </c>
    </row>
    <row r="64" spans="4:19" ht="20" customHeight="1" x14ac:dyDescent="0.35">
      <c r="D64" s="35"/>
      <c r="E64" s="10"/>
      <c r="F64" s="27"/>
      <c r="G64" s="27"/>
      <c r="H64" s="27"/>
      <c r="I64" s="27"/>
      <c r="J64" s="27"/>
      <c r="L64" s="25" t="b">
        <f t="shared" si="16"/>
        <v>0</v>
      </c>
    </row>
    <row r="65" spans="4:19" ht="20" customHeight="1" x14ac:dyDescent="0.35">
      <c r="D65" s="35"/>
      <c r="E65" s="28" t="s">
        <v>10</v>
      </c>
      <c r="F65" s="27"/>
      <c r="G65" s="27"/>
      <c r="H65" s="27"/>
      <c r="I65" s="27"/>
      <c r="J65" s="27"/>
      <c r="K65" s="17"/>
      <c r="L65" s="25" t="b">
        <f t="shared" si="16"/>
        <v>0</v>
      </c>
      <c r="M65">
        <f>_xlfn.MAXIFS(F65:J65,F64:J64,"&lt;&gt;")</f>
        <v>0</v>
      </c>
      <c r="N65" s="17"/>
      <c r="P65">
        <f>_xlfn.MAXIFS(G65:J65,G65:J65,"&lt;&gt;",G64:J64,"&lt;&gt;")</f>
        <v>0</v>
      </c>
      <c r="Q65">
        <f>_xlfn.MAXIFS(H65:J65,H65:J65,"&lt;&gt;",H64:J64,"&lt;&gt;")</f>
        <v>0</v>
      </c>
      <c r="R65">
        <f>_xlfn.MAXIFS(I65:J65,I65:J65,"&lt;&gt;",I64:J64,"&lt;&gt;")</f>
        <v>0</v>
      </c>
      <c r="S65">
        <f>_xlfn.MAXIFS(J65,J65,"&lt;&gt;",J64,"&lt;&gt;")</f>
        <v>0</v>
      </c>
    </row>
    <row r="66" spans="4:19" ht="20" customHeight="1" x14ac:dyDescent="0.35">
      <c r="D66" s="36"/>
      <c r="E66" s="12"/>
      <c r="F66" s="15" t="str">
        <f>IF($E65 = "Bereik", IF(F65 = P65, IF(ISBLANK(P65), 0, P65) &amp; " ptn", "" &amp; F65 &amp; " tot &gt; " &amp; IF(ISBLANK(P65), 0, P65) &amp; " ptn"), "")</f>
        <v/>
      </c>
      <c r="G66" s="15" t="str">
        <f>IF($E65 = "Bereik", IF(G65 = Q65, IF(ISBLANK(Q65), 0, Q65) &amp; " ptn", "" &amp; G65 &amp; " tot &gt; " &amp; IF(ISBLANK(Q65), 0, Q65) &amp; " ptn"), "")</f>
        <v/>
      </c>
      <c r="H66" s="15" t="str">
        <f t="shared" ref="H66" si="29">IF($E65 = "Bereik", IF(H65 = R65, IF(ISBLANK(R65), 0, R65) &amp; " ptn", "" &amp; H65 &amp; " tot &gt; " &amp; IF(ISBLANK(R65), 0, R65) &amp; " ptn"), "")</f>
        <v/>
      </c>
      <c r="I66" s="15" t="str">
        <f t="shared" ref="I66" si="30">IF($E65 = "Bereik", IF(I65 = S65, IF(ISBLANK(S65), 0, S65) &amp; " ptn", "" &amp; I65 &amp; " tot &gt; " &amp; IF(ISBLANK(S65), 0, S65) &amp; " ptn"), "")</f>
        <v/>
      </c>
      <c r="J66" s="16" t="str">
        <f t="shared" ref="J66" si="31">IF($E65 = "Bereik", IF(J65 = T65, IF(ISBLANK(T65), 0, T65) &amp; " ptn", "" &amp; J65 &amp; " tot &gt; " &amp; IF(ISBLANK(T65), 0, T65) &amp; " ptn"), "")</f>
        <v/>
      </c>
      <c r="L66" s="25" t="b">
        <f t="shared" si="16"/>
        <v>0</v>
      </c>
    </row>
    <row r="67" spans="4:19" ht="74" customHeight="1" x14ac:dyDescent="0.35">
      <c r="D67" s="28"/>
      <c r="E67" s="13" t="s">
        <v>9</v>
      </c>
      <c r="F67" s="30"/>
      <c r="G67" s="30"/>
      <c r="H67" s="30"/>
      <c r="I67" s="30"/>
      <c r="J67" s="30"/>
      <c r="L67" s="25" t="b">
        <f t="shared" si="16"/>
        <v>0</v>
      </c>
    </row>
    <row r="68" spans="4:19" x14ac:dyDescent="0.35">
      <c r="L68" s="25" t="b">
        <f t="shared" si="16"/>
        <v>0</v>
      </c>
    </row>
    <row r="69" spans="4:19" ht="18.5" x14ac:dyDescent="0.45">
      <c r="D69" s="34" t="s">
        <v>7</v>
      </c>
      <c r="E69" s="9"/>
      <c r="F69" s="14"/>
      <c r="G69" s="37"/>
      <c r="H69" s="37"/>
      <c r="I69" s="37"/>
      <c r="J69" s="38"/>
      <c r="L69" s="25" t="b">
        <f t="shared" ref="L69:L132" si="32">IF(AND(NOT(ISBLANK(D69)),MOD(ROW($D69),6)-1=0),TRUE,FALSE)</f>
        <v>0</v>
      </c>
    </row>
    <row r="70" spans="4:19" ht="20" customHeight="1" x14ac:dyDescent="0.35">
      <c r="D70" s="35"/>
      <c r="E70" s="10"/>
      <c r="F70" s="27"/>
      <c r="G70" s="27"/>
      <c r="H70" s="27"/>
      <c r="I70" s="27"/>
      <c r="J70" s="27"/>
      <c r="L70" s="25" t="b">
        <f t="shared" si="32"/>
        <v>0</v>
      </c>
    </row>
    <row r="71" spans="4:19" ht="20" customHeight="1" x14ac:dyDescent="0.35">
      <c r="D71" s="35"/>
      <c r="E71" s="28" t="s">
        <v>10</v>
      </c>
      <c r="F71" s="27"/>
      <c r="G71" s="27"/>
      <c r="H71" s="27"/>
      <c r="I71" s="27"/>
      <c r="J71" s="27"/>
      <c r="K71" s="17"/>
      <c r="L71" s="25" t="b">
        <f t="shared" si="32"/>
        <v>0</v>
      </c>
      <c r="M71">
        <f>_xlfn.MAXIFS(F71:J71,F70:J70,"&lt;&gt;")</f>
        <v>0</v>
      </c>
      <c r="N71" s="17"/>
      <c r="P71">
        <f>_xlfn.MAXIFS(G71:J71,G71:J71,"&lt;&gt;",G70:J70,"&lt;&gt;")</f>
        <v>0</v>
      </c>
      <c r="Q71">
        <f>_xlfn.MAXIFS(H71:J71,H71:J71,"&lt;&gt;",H70:J70,"&lt;&gt;")</f>
        <v>0</v>
      </c>
      <c r="R71">
        <f>_xlfn.MAXIFS(I71:J71,I71:J71,"&lt;&gt;",I70:J70,"&lt;&gt;")</f>
        <v>0</v>
      </c>
      <c r="S71">
        <f>_xlfn.MAXIFS(J71,J71,"&lt;&gt;",J70,"&lt;&gt;")</f>
        <v>0</v>
      </c>
    </row>
    <row r="72" spans="4:19" ht="20" customHeight="1" x14ac:dyDescent="0.35">
      <c r="D72" s="36"/>
      <c r="E72" s="12"/>
      <c r="F72" s="15" t="str">
        <f>IF($E71 = "Bereik", IF(F71 = P71, IF(ISBLANK(P71), 0, P71) &amp; " ptn", "" &amp; F71 &amp; " tot &gt; " &amp; IF(ISBLANK(P71), 0, P71) &amp; " ptn"), "")</f>
        <v/>
      </c>
      <c r="G72" s="15" t="str">
        <f>IF($E71 = "Bereik", IF(G71 = Q71, IF(ISBLANK(Q71), 0, Q71) &amp; " ptn", "" &amp; G71 &amp; " tot &gt; " &amp; IF(ISBLANK(Q71), 0, Q71) &amp; " ptn"), "")</f>
        <v/>
      </c>
      <c r="H72" s="15" t="str">
        <f t="shared" ref="H72" si="33">IF($E71 = "Bereik", IF(H71 = R71, IF(ISBLANK(R71), 0, R71) &amp; " ptn", "" &amp; H71 &amp; " tot &gt; " &amp; IF(ISBLANK(R71), 0, R71) &amp; " ptn"), "")</f>
        <v/>
      </c>
      <c r="I72" s="15" t="str">
        <f t="shared" ref="I72" si="34">IF($E71 = "Bereik", IF(I71 = S71, IF(ISBLANK(S71), 0, S71) &amp; " ptn", "" &amp; I71 &amp; " tot &gt; " &amp; IF(ISBLANK(S71), 0, S71) &amp; " ptn"), "")</f>
        <v/>
      </c>
      <c r="J72" s="16" t="str">
        <f t="shared" ref="J72" si="35">IF($E71 = "Bereik", IF(J71 = T71, IF(ISBLANK(T71), 0, T71) &amp; " ptn", "" &amp; J71 &amp; " tot &gt; " &amp; IF(ISBLANK(T71), 0, T71) &amp; " ptn"), "")</f>
        <v/>
      </c>
      <c r="L72" s="25" t="b">
        <f t="shared" si="32"/>
        <v>0</v>
      </c>
    </row>
    <row r="73" spans="4:19" ht="74" customHeight="1" x14ac:dyDescent="0.35">
      <c r="D73" s="28"/>
      <c r="E73" s="13" t="s">
        <v>9</v>
      </c>
      <c r="F73" s="30"/>
      <c r="G73" s="30"/>
      <c r="H73" s="30"/>
      <c r="I73" s="30"/>
      <c r="J73" s="30"/>
      <c r="L73" s="25" t="b">
        <f t="shared" si="32"/>
        <v>0</v>
      </c>
    </row>
    <row r="74" spans="4:19" x14ac:dyDescent="0.35">
      <c r="L74" s="25" t="b">
        <f t="shared" si="32"/>
        <v>0</v>
      </c>
    </row>
    <row r="75" spans="4:19" ht="18.5" x14ac:dyDescent="0.45">
      <c r="D75" s="34" t="s">
        <v>7</v>
      </c>
      <c r="E75" s="9"/>
      <c r="F75" s="14"/>
      <c r="G75" s="37"/>
      <c r="H75" s="37"/>
      <c r="I75" s="37"/>
      <c r="J75" s="38"/>
      <c r="L75" s="25" t="b">
        <f t="shared" si="32"/>
        <v>0</v>
      </c>
    </row>
    <row r="76" spans="4:19" ht="20" customHeight="1" x14ac:dyDescent="0.35">
      <c r="D76" s="35"/>
      <c r="E76" s="10"/>
      <c r="F76" s="27"/>
      <c r="G76" s="27"/>
      <c r="H76" s="27"/>
      <c r="I76" s="27"/>
      <c r="J76" s="27"/>
      <c r="L76" s="25" t="b">
        <f t="shared" si="32"/>
        <v>0</v>
      </c>
    </row>
    <row r="77" spans="4:19" ht="20" customHeight="1" x14ac:dyDescent="0.35">
      <c r="D77" s="35"/>
      <c r="E77" s="28" t="s">
        <v>10</v>
      </c>
      <c r="F77" s="27"/>
      <c r="G77" s="27"/>
      <c r="H77" s="27"/>
      <c r="I77" s="27"/>
      <c r="J77" s="27"/>
      <c r="K77" s="17"/>
      <c r="L77" s="25" t="b">
        <f t="shared" si="32"/>
        <v>0</v>
      </c>
      <c r="M77">
        <f>_xlfn.MAXIFS(F77:J77,F76:J76,"&lt;&gt;")</f>
        <v>0</v>
      </c>
      <c r="N77" s="17"/>
      <c r="P77">
        <f>_xlfn.MAXIFS(G77:J77,G77:J77,"&lt;&gt;",G76:J76,"&lt;&gt;")</f>
        <v>0</v>
      </c>
      <c r="Q77">
        <f>_xlfn.MAXIFS(H77:J77,H77:J77,"&lt;&gt;",H76:J76,"&lt;&gt;")</f>
        <v>0</v>
      </c>
      <c r="R77">
        <f>_xlfn.MAXIFS(I77:J77,I77:J77,"&lt;&gt;",I76:J76,"&lt;&gt;")</f>
        <v>0</v>
      </c>
      <c r="S77">
        <f>_xlfn.MAXIFS(J77,J77,"&lt;&gt;",J76,"&lt;&gt;")</f>
        <v>0</v>
      </c>
    </row>
    <row r="78" spans="4:19" ht="20" customHeight="1" x14ac:dyDescent="0.35">
      <c r="D78" s="36"/>
      <c r="E78" s="12"/>
      <c r="F78" s="15" t="str">
        <f>IF($E77 = "Bereik", IF(F77 = P77, IF(ISBLANK(P77), 0, P77) &amp; " ptn", "" &amp; F77 &amp; " tot &gt; " &amp; IF(ISBLANK(P77), 0, P77) &amp; " ptn"), "")</f>
        <v/>
      </c>
      <c r="G78" s="15" t="str">
        <f>IF($E77 = "Bereik", IF(G77 = Q77, IF(ISBLANK(Q77), 0, Q77) &amp; " ptn", "" &amp; G77 &amp; " tot &gt; " &amp; IF(ISBLANK(Q77), 0, Q77) &amp; " ptn"), "")</f>
        <v/>
      </c>
      <c r="H78" s="15" t="str">
        <f t="shared" ref="H78" si="36">IF($E77 = "Bereik", IF(H77 = R77, IF(ISBLANK(R77), 0, R77) &amp; " ptn", "" &amp; H77 &amp; " tot &gt; " &amp; IF(ISBLANK(R77), 0, R77) &amp; " ptn"), "")</f>
        <v/>
      </c>
      <c r="I78" s="15" t="str">
        <f t="shared" ref="I78" si="37">IF($E77 = "Bereik", IF(I77 = S77, IF(ISBLANK(S77), 0, S77) &amp; " ptn", "" &amp; I77 &amp; " tot &gt; " &amp; IF(ISBLANK(S77), 0, S77) &amp; " ptn"), "")</f>
        <v/>
      </c>
      <c r="J78" s="16" t="str">
        <f t="shared" ref="J78" si="38">IF($E77 = "Bereik", IF(J77 = T77, IF(ISBLANK(T77), 0, T77) &amp; " ptn", "" &amp; J77 &amp; " tot &gt; " &amp; IF(ISBLANK(T77), 0, T77) &amp; " ptn"), "")</f>
        <v/>
      </c>
      <c r="L78" s="25" t="b">
        <f t="shared" si="32"/>
        <v>0</v>
      </c>
    </row>
    <row r="79" spans="4:19" ht="74" customHeight="1" x14ac:dyDescent="0.35">
      <c r="D79" s="28"/>
      <c r="E79" s="13" t="s">
        <v>9</v>
      </c>
      <c r="F79" s="30"/>
      <c r="G79" s="30"/>
      <c r="H79" s="30"/>
      <c r="I79" s="30"/>
      <c r="J79" s="30"/>
      <c r="L79" s="25" t="b">
        <f t="shared" si="32"/>
        <v>0</v>
      </c>
    </row>
    <row r="80" spans="4:19" x14ac:dyDescent="0.35">
      <c r="L80" s="25" t="b">
        <f t="shared" si="32"/>
        <v>0</v>
      </c>
    </row>
    <row r="81" spans="4:19" ht="18.5" x14ac:dyDescent="0.45">
      <c r="D81" s="34" t="s">
        <v>7</v>
      </c>
      <c r="E81" s="9"/>
      <c r="F81" s="14"/>
      <c r="G81" s="37"/>
      <c r="H81" s="37"/>
      <c r="I81" s="37"/>
      <c r="J81" s="38"/>
      <c r="L81" s="25" t="b">
        <f t="shared" si="32"/>
        <v>0</v>
      </c>
    </row>
    <row r="82" spans="4:19" ht="20" customHeight="1" x14ac:dyDescent="0.35">
      <c r="D82" s="35"/>
      <c r="E82" s="10"/>
      <c r="F82" s="27"/>
      <c r="G82" s="27"/>
      <c r="H82" s="27"/>
      <c r="I82" s="27"/>
      <c r="J82" s="27"/>
      <c r="L82" s="25" t="b">
        <f t="shared" si="32"/>
        <v>0</v>
      </c>
    </row>
    <row r="83" spans="4:19" ht="20" customHeight="1" x14ac:dyDescent="0.35">
      <c r="D83" s="35"/>
      <c r="E83" s="28" t="s">
        <v>10</v>
      </c>
      <c r="F83" s="27"/>
      <c r="G83" s="27"/>
      <c r="H83" s="27"/>
      <c r="I83" s="27"/>
      <c r="J83" s="27"/>
      <c r="K83" s="17"/>
      <c r="L83" s="25" t="b">
        <f t="shared" si="32"/>
        <v>0</v>
      </c>
      <c r="M83">
        <f>_xlfn.MAXIFS(F83:J83,F82:J82,"&lt;&gt;")</f>
        <v>0</v>
      </c>
      <c r="N83" s="17"/>
      <c r="P83">
        <f>_xlfn.MAXIFS(G83:J83,G83:J83,"&lt;&gt;",G82:J82,"&lt;&gt;")</f>
        <v>0</v>
      </c>
      <c r="Q83">
        <f>_xlfn.MAXIFS(H83:J83,H83:J83,"&lt;&gt;",H82:J82,"&lt;&gt;")</f>
        <v>0</v>
      </c>
      <c r="R83">
        <f>_xlfn.MAXIFS(I83:J83,I83:J83,"&lt;&gt;",I82:J82,"&lt;&gt;")</f>
        <v>0</v>
      </c>
      <c r="S83">
        <f>_xlfn.MAXIFS(J83,J83,"&lt;&gt;",J82,"&lt;&gt;")</f>
        <v>0</v>
      </c>
    </row>
    <row r="84" spans="4:19" ht="20" customHeight="1" x14ac:dyDescent="0.35">
      <c r="D84" s="36"/>
      <c r="E84" s="12"/>
      <c r="F84" s="15" t="str">
        <f>IF($E83 = "Bereik", IF(F83 = P83, IF(ISBLANK(P83), 0, P83) &amp; " ptn", "" &amp; F83 &amp; " tot &gt; " &amp; IF(ISBLANK(P83), 0, P83) &amp; " ptn"), "")</f>
        <v/>
      </c>
      <c r="G84" s="15" t="str">
        <f>IF($E83 = "Bereik", IF(G83 = Q83, IF(ISBLANK(Q83), 0, Q83) &amp; " ptn", "" &amp; G83 &amp; " tot &gt; " &amp; IF(ISBLANK(Q83), 0, Q83) &amp; " ptn"), "")</f>
        <v/>
      </c>
      <c r="H84" s="15" t="str">
        <f t="shared" ref="H84" si="39">IF($E83 = "Bereik", IF(H83 = R83, IF(ISBLANK(R83), 0, R83) &amp; " ptn", "" &amp; H83 &amp; " tot &gt; " &amp; IF(ISBLANK(R83), 0, R83) &amp; " ptn"), "")</f>
        <v/>
      </c>
      <c r="I84" s="15" t="str">
        <f t="shared" ref="I84" si="40">IF($E83 = "Bereik", IF(I83 = S83, IF(ISBLANK(S83), 0, S83) &amp; " ptn", "" &amp; I83 &amp; " tot &gt; " &amp; IF(ISBLANK(S83), 0, S83) &amp; " ptn"), "")</f>
        <v/>
      </c>
      <c r="J84" s="16" t="str">
        <f t="shared" ref="J84" si="41">IF($E83 = "Bereik", IF(J83 = T83, IF(ISBLANK(T83), 0, T83) &amp; " ptn", "" &amp; J83 &amp; " tot &gt; " &amp; IF(ISBLANK(T83), 0, T83) &amp; " ptn"), "")</f>
        <v/>
      </c>
      <c r="L84" s="25" t="b">
        <f t="shared" si="32"/>
        <v>0</v>
      </c>
    </row>
    <row r="85" spans="4:19" ht="74" customHeight="1" x14ac:dyDescent="0.35">
      <c r="D85" s="28"/>
      <c r="E85" s="13" t="s">
        <v>9</v>
      </c>
      <c r="F85" s="30"/>
      <c r="G85" s="30"/>
      <c r="H85" s="30"/>
      <c r="I85" s="30"/>
      <c r="J85" s="30"/>
      <c r="L85" s="25" t="b">
        <f t="shared" si="32"/>
        <v>0</v>
      </c>
    </row>
    <row r="86" spans="4:19" x14ac:dyDescent="0.35">
      <c r="L86" s="25" t="b">
        <f t="shared" si="32"/>
        <v>0</v>
      </c>
    </row>
    <row r="87" spans="4:19" ht="18.5" x14ac:dyDescent="0.45">
      <c r="D87" s="34" t="s">
        <v>7</v>
      </c>
      <c r="E87" s="9"/>
      <c r="F87" s="14"/>
      <c r="G87" s="37"/>
      <c r="H87" s="37"/>
      <c r="I87" s="37"/>
      <c r="J87" s="38"/>
      <c r="L87" s="25" t="b">
        <f t="shared" si="32"/>
        <v>0</v>
      </c>
    </row>
    <row r="88" spans="4:19" ht="20" customHeight="1" x14ac:dyDescent="0.35">
      <c r="D88" s="35"/>
      <c r="E88" s="10"/>
      <c r="F88" s="27"/>
      <c r="G88" s="27"/>
      <c r="H88" s="27"/>
      <c r="I88" s="27"/>
      <c r="J88" s="27"/>
      <c r="L88" s="25" t="b">
        <f t="shared" si="32"/>
        <v>0</v>
      </c>
    </row>
    <row r="89" spans="4:19" ht="20" customHeight="1" x14ac:dyDescent="0.35">
      <c r="D89" s="35"/>
      <c r="E89" s="28" t="s">
        <v>10</v>
      </c>
      <c r="F89" s="27"/>
      <c r="G89" s="27"/>
      <c r="H89" s="27"/>
      <c r="I89" s="27"/>
      <c r="J89" s="27"/>
      <c r="K89" s="17"/>
      <c r="L89" s="25" t="b">
        <f t="shared" si="32"/>
        <v>0</v>
      </c>
      <c r="M89">
        <f>_xlfn.MAXIFS(F89:J89,F88:J88,"&lt;&gt;")</f>
        <v>0</v>
      </c>
      <c r="N89" s="17"/>
      <c r="P89">
        <f>_xlfn.MAXIFS(G89:J89,G89:J89,"&lt;&gt;",G88:J88,"&lt;&gt;")</f>
        <v>0</v>
      </c>
      <c r="Q89">
        <f>_xlfn.MAXIFS(H89:J89,H89:J89,"&lt;&gt;",H88:J88,"&lt;&gt;")</f>
        <v>0</v>
      </c>
      <c r="R89">
        <f>_xlfn.MAXIFS(I89:J89,I89:J89,"&lt;&gt;",I88:J88,"&lt;&gt;")</f>
        <v>0</v>
      </c>
      <c r="S89">
        <f>_xlfn.MAXIFS(J89,J89,"&lt;&gt;",J88,"&lt;&gt;")</f>
        <v>0</v>
      </c>
    </row>
    <row r="90" spans="4:19" ht="20" customHeight="1" x14ac:dyDescent="0.35">
      <c r="D90" s="36"/>
      <c r="E90" s="12"/>
      <c r="F90" s="15" t="str">
        <f>IF($E89 = "Bereik", IF(F89 = P89, IF(ISBLANK(P89), 0, P89) &amp; " ptn", "" &amp; F89 &amp; " tot &gt; " &amp; IF(ISBLANK(P89), 0, P89) &amp; " ptn"), "")</f>
        <v/>
      </c>
      <c r="G90" s="15" t="str">
        <f>IF($E89 = "Bereik", IF(G89 = Q89, IF(ISBLANK(Q89), 0, Q89) &amp; " ptn", "" &amp; G89 &amp; " tot &gt; " &amp; IF(ISBLANK(Q89), 0, Q89) &amp; " ptn"), "")</f>
        <v/>
      </c>
      <c r="H90" s="15" t="str">
        <f t="shared" ref="H90" si="42">IF($E89 = "Bereik", IF(H89 = R89, IF(ISBLANK(R89), 0, R89) &amp; " ptn", "" &amp; H89 &amp; " tot &gt; " &amp; IF(ISBLANK(R89), 0, R89) &amp; " ptn"), "")</f>
        <v/>
      </c>
      <c r="I90" s="15" t="str">
        <f t="shared" ref="I90" si="43">IF($E89 = "Bereik", IF(I89 = S89, IF(ISBLANK(S89), 0, S89) &amp; " ptn", "" &amp; I89 &amp; " tot &gt; " &amp; IF(ISBLANK(S89), 0, S89) &amp; " ptn"), "")</f>
        <v/>
      </c>
      <c r="J90" s="16" t="str">
        <f t="shared" ref="J90" si="44">IF($E89 = "Bereik", IF(J89 = T89, IF(ISBLANK(T89), 0, T89) &amp; " ptn", "" &amp; J89 &amp; " tot &gt; " &amp; IF(ISBLANK(T89), 0, T89) &amp; " ptn"), "")</f>
        <v/>
      </c>
      <c r="L90" s="25" t="b">
        <f t="shared" si="32"/>
        <v>0</v>
      </c>
    </row>
    <row r="91" spans="4:19" ht="74" customHeight="1" x14ac:dyDescent="0.35">
      <c r="D91" s="28"/>
      <c r="E91" s="13" t="s">
        <v>9</v>
      </c>
      <c r="F91" s="30"/>
      <c r="G91" s="30"/>
      <c r="H91" s="30"/>
      <c r="I91" s="30"/>
      <c r="J91" s="30"/>
      <c r="L91" s="25" t="b">
        <f t="shared" si="32"/>
        <v>0</v>
      </c>
    </row>
    <row r="92" spans="4:19" x14ac:dyDescent="0.35">
      <c r="L92" s="25" t="b">
        <f t="shared" si="32"/>
        <v>0</v>
      </c>
    </row>
    <row r="93" spans="4:19" ht="18.5" x14ac:dyDescent="0.45">
      <c r="D93" s="34" t="s">
        <v>7</v>
      </c>
      <c r="E93" s="9"/>
      <c r="F93" s="14"/>
      <c r="G93" s="37"/>
      <c r="H93" s="37"/>
      <c r="I93" s="37"/>
      <c r="J93" s="38"/>
      <c r="L93" s="25" t="b">
        <f t="shared" si="32"/>
        <v>0</v>
      </c>
    </row>
    <row r="94" spans="4:19" ht="20" customHeight="1" x14ac:dyDescent="0.35">
      <c r="D94" s="35"/>
      <c r="E94" s="10"/>
      <c r="F94" s="27"/>
      <c r="G94" s="27"/>
      <c r="H94" s="27"/>
      <c r="I94" s="27"/>
      <c r="J94" s="27"/>
      <c r="L94" s="25" t="b">
        <f t="shared" si="32"/>
        <v>0</v>
      </c>
    </row>
    <row r="95" spans="4:19" ht="20" customHeight="1" x14ac:dyDescent="0.35">
      <c r="D95" s="35"/>
      <c r="E95" s="28" t="s">
        <v>10</v>
      </c>
      <c r="F95" s="27"/>
      <c r="G95" s="27"/>
      <c r="H95" s="27"/>
      <c r="I95" s="27"/>
      <c r="J95" s="27"/>
      <c r="K95" s="17"/>
      <c r="L95" s="25" t="b">
        <f t="shared" si="32"/>
        <v>0</v>
      </c>
      <c r="M95">
        <f>_xlfn.MAXIFS(F95:J95,F94:J94,"&lt;&gt;")</f>
        <v>0</v>
      </c>
      <c r="N95" s="17"/>
      <c r="P95">
        <f>_xlfn.MAXIFS(G95:J95,G95:J95,"&lt;&gt;",G94:J94,"&lt;&gt;")</f>
        <v>0</v>
      </c>
      <c r="Q95">
        <f>_xlfn.MAXIFS(H95:J95,H95:J95,"&lt;&gt;",H94:J94,"&lt;&gt;")</f>
        <v>0</v>
      </c>
      <c r="R95">
        <f>_xlfn.MAXIFS(I95:J95,I95:J95,"&lt;&gt;",I94:J94,"&lt;&gt;")</f>
        <v>0</v>
      </c>
      <c r="S95">
        <f>_xlfn.MAXIFS(J95,J95,"&lt;&gt;",J94,"&lt;&gt;")</f>
        <v>0</v>
      </c>
    </row>
    <row r="96" spans="4:19" ht="20" customHeight="1" x14ac:dyDescent="0.35">
      <c r="D96" s="36"/>
      <c r="E96" s="12"/>
      <c r="F96" s="15" t="str">
        <f>IF($E95 = "Bereik", IF(F95 = P95, IF(ISBLANK(P95), 0, P95) &amp; " ptn", "" &amp; F95 &amp; " tot &gt; " &amp; IF(ISBLANK(P95), 0, P95) &amp; " ptn"), "")</f>
        <v/>
      </c>
      <c r="G96" s="15" t="str">
        <f>IF($E95 = "Bereik", IF(G95 = Q95, IF(ISBLANK(Q95), 0, Q95) &amp; " ptn", "" &amp; G95 &amp; " tot &gt; " &amp; IF(ISBLANK(Q95), 0, Q95) &amp; " ptn"), "")</f>
        <v/>
      </c>
      <c r="H96" s="15" t="str">
        <f t="shared" ref="H96" si="45">IF($E95 = "Bereik", IF(H95 = R95, IF(ISBLANK(R95), 0, R95) &amp; " ptn", "" &amp; H95 &amp; " tot &gt; " &amp; IF(ISBLANK(R95), 0, R95) &amp; " ptn"), "")</f>
        <v/>
      </c>
      <c r="I96" s="15" t="str">
        <f t="shared" ref="I96" si="46">IF($E95 = "Bereik", IF(I95 = S95, IF(ISBLANK(S95), 0, S95) &amp; " ptn", "" &amp; I95 &amp; " tot &gt; " &amp; IF(ISBLANK(S95), 0, S95) &amp; " ptn"), "")</f>
        <v/>
      </c>
      <c r="J96" s="16" t="str">
        <f t="shared" ref="J96" si="47">IF($E95 = "Bereik", IF(J95 = T95, IF(ISBLANK(T95), 0, T95) &amp; " ptn", "" &amp; J95 &amp; " tot &gt; " &amp; IF(ISBLANK(T95), 0, T95) &amp; " ptn"), "")</f>
        <v/>
      </c>
      <c r="L96" s="25" t="b">
        <f t="shared" si="32"/>
        <v>0</v>
      </c>
    </row>
    <row r="97" spans="4:19" ht="74" customHeight="1" x14ac:dyDescent="0.35">
      <c r="D97" s="28"/>
      <c r="E97" s="13" t="s">
        <v>9</v>
      </c>
      <c r="F97" s="30"/>
      <c r="G97" s="30"/>
      <c r="H97" s="30"/>
      <c r="I97" s="30"/>
      <c r="J97" s="30"/>
      <c r="L97" s="25" t="b">
        <f t="shared" si="32"/>
        <v>0</v>
      </c>
    </row>
    <row r="98" spans="4:19" x14ac:dyDescent="0.35">
      <c r="L98" s="25" t="b">
        <f t="shared" si="32"/>
        <v>0</v>
      </c>
    </row>
    <row r="99" spans="4:19" ht="18.5" x14ac:dyDescent="0.45">
      <c r="D99" s="34" t="s">
        <v>7</v>
      </c>
      <c r="E99" s="9"/>
      <c r="F99" s="14"/>
      <c r="G99" s="37"/>
      <c r="H99" s="37"/>
      <c r="I99" s="37"/>
      <c r="J99" s="38"/>
      <c r="L99" s="25" t="b">
        <f t="shared" si="32"/>
        <v>0</v>
      </c>
    </row>
    <row r="100" spans="4:19" ht="20" customHeight="1" x14ac:dyDescent="0.35">
      <c r="D100" s="35"/>
      <c r="E100" s="10"/>
      <c r="F100" s="27"/>
      <c r="G100" s="27"/>
      <c r="H100" s="27"/>
      <c r="I100" s="27"/>
      <c r="J100" s="27"/>
      <c r="L100" s="25" t="b">
        <f t="shared" si="32"/>
        <v>0</v>
      </c>
    </row>
    <row r="101" spans="4:19" ht="20" customHeight="1" x14ac:dyDescent="0.35">
      <c r="D101" s="35"/>
      <c r="E101" s="28" t="s">
        <v>10</v>
      </c>
      <c r="F101" s="27"/>
      <c r="G101" s="27"/>
      <c r="H101" s="27"/>
      <c r="I101" s="27"/>
      <c r="J101" s="27"/>
      <c r="K101" s="17"/>
      <c r="L101" s="25" t="b">
        <f t="shared" si="32"/>
        <v>0</v>
      </c>
      <c r="M101">
        <f>_xlfn.MAXIFS(F101:J101,F100:J100,"&lt;&gt;")</f>
        <v>0</v>
      </c>
      <c r="N101" s="17"/>
      <c r="P101">
        <f>_xlfn.MAXIFS(G101:J101,G101:J101,"&lt;&gt;",G100:J100,"&lt;&gt;")</f>
        <v>0</v>
      </c>
      <c r="Q101">
        <f>_xlfn.MAXIFS(H101:J101,H101:J101,"&lt;&gt;",H100:J100,"&lt;&gt;")</f>
        <v>0</v>
      </c>
      <c r="R101">
        <f>_xlfn.MAXIFS(I101:J101,I101:J101,"&lt;&gt;",I100:J100,"&lt;&gt;")</f>
        <v>0</v>
      </c>
      <c r="S101">
        <f>_xlfn.MAXIFS(J101,J101,"&lt;&gt;",J100,"&lt;&gt;")</f>
        <v>0</v>
      </c>
    </row>
    <row r="102" spans="4:19" ht="20" customHeight="1" x14ac:dyDescent="0.35">
      <c r="D102" s="36"/>
      <c r="E102" s="12"/>
      <c r="F102" s="15" t="str">
        <f>IF($E101 = "Bereik", IF(F101 = P101, IF(ISBLANK(P101), 0, P101) &amp; " ptn", "" &amp; F101 &amp; " tot &gt; " &amp; IF(ISBLANK(P101), 0, P101) &amp; " ptn"), "")</f>
        <v/>
      </c>
      <c r="G102" s="15" t="str">
        <f>IF($E101 = "Bereik", IF(G101 = Q101, IF(ISBLANK(Q101), 0, Q101) &amp; " ptn", "" &amp; G101 &amp; " tot &gt; " &amp; IF(ISBLANK(Q101), 0, Q101) &amp; " ptn"), "")</f>
        <v/>
      </c>
      <c r="H102" s="15" t="str">
        <f t="shared" ref="H102" si="48">IF($E101 = "Bereik", IF(H101 = R101, IF(ISBLANK(R101), 0, R101) &amp; " ptn", "" &amp; H101 &amp; " tot &gt; " &amp; IF(ISBLANK(R101), 0, R101) &amp; " ptn"), "")</f>
        <v/>
      </c>
      <c r="I102" s="15" t="str">
        <f t="shared" ref="I102" si="49">IF($E101 = "Bereik", IF(I101 = S101, IF(ISBLANK(S101), 0, S101) &amp; " ptn", "" &amp; I101 &amp; " tot &gt; " &amp; IF(ISBLANK(S101), 0, S101) &amp; " ptn"), "")</f>
        <v/>
      </c>
      <c r="J102" s="16" t="str">
        <f t="shared" ref="J102" si="50">IF($E101 = "Bereik", IF(J101 = T101, IF(ISBLANK(T101), 0, T101) &amp; " ptn", "" &amp; J101 &amp; " tot &gt; " &amp; IF(ISBLANK(T101), 0, T101) &amp; " ptn"), "")</f>
        <v/>
      </c>
      <c r="L102" s="25" t="b">
        <f t="shared" si="32"/>
        <v>0</v>
      </c>
    </row>
    <row r="103" spans="4:19" ht="74" customHeight="1" x14ac:dyDescent="0.35">
      <c r="D103" s="28"/>
      <c r="E103" s="13" t="s">
        <v>9</v>
      </c>
      <c r="F103" s="30"/>
      <c r="G103" s="30"/>
      <c r="H103" s="30"/>
      <c r="I103" s="30"/>
      <c r="J103" s="30"/>
      <c r="L103" s="25" t="b">
        <f t="shared" si="32"/>
        <v>0</v>
      </c>
    </row>
    <row r="104" spans="4:19" x14ac:dyDescent="0.35">
      <c r="L104" s="25" t="b">
        <f t="shared" si="32"/>
        <v>0</v>
      </c>
    </row>
    <row r="105" spans="4:19" ht="18.5" x14ac:dyDescent="0.45">
      <c r="D105" s="34" t="s">
        <v>7</v>
      </c>
      <c r="E105" s="9"/>
      <c r="F105" s="14"/>
      <c r="G105" s="37"/>
      <c r="H105" s="37"/>
      <c r="I105" s="37"/>
      <c r="J105" s="38"/>
      <c r="L105" s="25" t="b">
        <f t="shared" si="32"/>
        <v>0</v>
      </c>
    </row>
    <row r="106" spans="4:19" ht="20" customHeight="1" x14ac:dyDescent="0.35">
      <c r="D106" s="35"/>
      <c r="E106" s="10"/>
      <c r="F106" s="27"/>
      <c r="G106" s="27"/>
      <c r="H106" s="27"/>
      <c r="I106" s="27"/>
      <c r="J106" s="27"/>
      <c r="L106" s="25" t="b">
        <f t="shared" si="32"/>
        <v>0</v>
      </c>
    </row>
    <row r="107" spans="4:19" ht="20" customHeight="1" x14ac:dyDescent="0.35">
      <c r="D107" s="35"/>
      <c r="E107" s="28" t="s">
        <v>10</v>
      </c>
      <c r="F107" s="27"/>
      <c r="G107" s="27"/>
      <c r="H107" s="27"/>
      <c r="I107" s="27"/>
      <c r="J107" s="27"/>
      <c r="K107" s="17"/>
      <c r="L107" s="25" t="b">
        <f t="shared" si="32"/>
        <v>0</v>
      </c>
      <c r="M107">
        <f>_xlfn.MAXIFS(F107:J107,F106:J106,"&lt;&gt;")</f>
        <v>0</v>
      </c>
      <c r="N107" s="17"/>
      <c r="P107">
        <f>_xlfn.MAXIFS(G107:J107,G107:J107,"&lt;&gt;",G106:J106,"&lt;&gt;")</f>
        <v>0</v>
      </c>
      <c r="Q107">
        <f>_xlfn.MAXIFS(H107:J107,H107:J107,"&lt;&gt;",H106:J106,"&lt;&gt;")</f>
        <v>0</v>
      </c>
      <c r="R107">
        <f>_xlfn.MAXIFS(I107:J107,I107:J107,"&lt;&gt;",I106:J106,"&lt;&gt;")</f>
        <v>0</v>
      </c>
      <c r="S107">
        <f>_xlfn.MAXIFS(J107,J107,"&lt;&gt;",J106,"&lt;&gt;")</f>
        <v>0</v>
      </c>
    </row>
    <row r="108" spans="4:19" ht="20" customHeight="1" x14ac:dyDescent="0.35">
      <c r="D108" s="36"/>
      <c r="E108" s="12"/>
      <c r="F108" s="15" t="str">
        <f>IF($E107 = "Bereik", IF(F107 = P107, IF(ISBLANK(P107), 0, P107) &amp; " ptn", "" &amp; F107 &amp; " tot &gt; " &amp; IF(ISBLANK(P107), 0, P107) &amp; " ptn"), "")</f>
        <v/>
      </c>
      <c r="G108" s="15" t="str">
        <f>IF($E107 = "Bereik", IF(G107 = Q107, IF(ISBLANK(Q107), 0, Q107) &amp; " ptn", "" &amp; G107 &amp; " tot &gt; " &amp; IF(ISBLANK(Q107), 0, Q107) &amp; " ptn"), "")</f>
        <v/>
      </c>
      <c r="H108" s="15" t="str">
        <f t="shared" ref="H108" si="51">IF($E107 = "Bereik", IF(H107 = R107, IF(ISBLANK(R107), 0, R107) &amp; " ptn", "" &amp; H107 &amp; " tot &gt; " &amp; IF(ISBLANK(R107), 0, R107) &amp; " ptn"), "")</f>
        <v/>
      </c>
      <c r="I108" s="15" t="str">
        <f t="shared" ref="I108" si="52">IF($E107 = "Bereik", IF(I107 = S107, IF(ISBLANK(S107), 0, S107) &amp; " ptn", "" &amp; I107 &amp; " tot &gt; " &amp; IF(ISBLANK(S107), 0, S107) &amp; " ptn"), "")</f>
        <v/>
      </c>
      <c r="J108" s="16" t="str">
        <f t="shared" ref="J108" si="53">IF($E107 = "Bereik", IF(J107 = T107, IF(ISBLANK(T107), 0, T107) &amp; " ptn", "" &amp; J107 &amp; " tot &gt; " &amp; IF(ISBLANK(T107), 0, T107) &amp; " ptn"), "")</f>
        <v/>
      </c>
      <c r="L108" s="25" t="b">
        <f t="shared" si="32"/>
        <v>0</v>
      </c>
    </row>
    <row r="109" spans="4:19" ht="74" customHeight="1" x14ac:dyDescent="0.35">
      <c r="D109" s="28"/>
      <c r="E109" s="13" t="s">
        <v>9</v>
      </c>
      <c r="F109" s="30"/>
      <c r="G109" s="30"/>
      <c r="H109" s="30"/>
      <c r="I109" s="30"/>
      <c r="J109" s="30"/>
      <c r="L109" s="25" t="b">
        <f t="shared" si="32"/>
        <v>0</v>
      </c>
    </row>
    <row r="110" spans="4:19" x14ac:dyDescent="0.35">
      <c r="L110" s="25" t="b">
        <f t="shared" si="32"/>
        <v>0</v>
      </c>
    </row>
    <row r="111" spans="4:19" ht="18.5" x14ac:dyDescent="0.45">
      <c r="D111" s="34" t="s">
        <v>7</v>
      </c>
      <c r="E111" s="9"/>
      <c r="F111" s="14"/>
      <c r="G111" s="37"/>
      <c r="H111" s="37"/>
      <c r="I111" s="37"/>
      <c r="J111" s="38"/>
      <c r="L111" s="25" t="b">
        <f t="shared" si="32"/>
        <v>0</v>
      </c>
    </row>
    <row r="112" spans="4:19" ht="20" customHeight="1" x14ac:dyDescent="0.35">
      <c r="D112" s="35"/>
      <c r="E112" s="10"/>
      <c r="F112" s="27"/>
      <c r="G112" s="27"/>
      <c r="H112" s="27"/>
      <c r="I112" s="27"/>
      <c r="J112" s="27"/>
      <c r="L112" s="25" t="b">
        <f t="shared" si="32"/>
        <v>0</v>
      </c>
    </row>
    <row r="113" spans="4:19" ht="20" customHeight="1" x14ac:dyDescent="0.35">
      <c r="D113" s="35"/>
      <c r="E113" s="28" t="s">
        <v>10</v>
      </c>
      <c r="F113" s="27"/>
      <c r="G113" s="27"/>
      <c r="H113" s="27"/>
      <c r="I113" s="27"/>
      <c r="J113" s="27"/>
      <c r="K113" s="17"/>
      <c r="L113" s="25" t="b">
        <f t="shared" si="32"/>
        <v>0</v>
      </c>
      <c r="M113">
        <f>_xlfn.MAXIFS(F113:J113,F112:J112,"&lt;&gt;")</f>
        <v>0</v>
      </c>
      <c r="N113" s="17"/>
      <c r="P113">
        <f>_xlfn.MAXIFS(G113:J113,G113:J113,"&lt;&gt;",G112:J112,"&lt;&gt;")</f>
        <v>0</v>
      </c>
      <c r="Q113">
        <f>_xlfn.MAXIFS(H113:J113,H113:J113,"&lt;&gt;",H112:J112,"&lt;&gt;")</f>
        <v>0</v>
      </c>
      <c r="R113">
        <f>_xlfn.MAXIFS(I113:J113,I113:J113,"&lt;&gt;",I112:J112,"&lt;&gt;")</f>
        <v>0</v>
      </c>
      <c r="S113">
        <f>_xlfn.MAXIFS(J113,J113,"&lt;&gt;",J112,"&lt;&gt;")</f>
        <v>0</v>
      </c>
    </row>
    <row r="114" spans="4:19" ht="20" customHeight="1" x14ac:dyDescent="0.35">
      <c r="D114" s="36"/>
      <c r="E114" s="12"/>
      <c r="F114" s="15" t="str">
        <f>IF($E113 = "Bereik", IF(F113 = P113, IF(ISBLANK(P113), 0, P113) &amp; " ptn", "" &amp; F113 &amp; " tot &gt; " &amp; IF(ISBLANK(P113), 0, P113) &amp; " ptn"), "")</f>
        <v/>
      </c>
      <c r="G114" s="15" t="str">
        <f>IF($E113 = "Bereik", IF(G113 = Q113, IF(ISBLANK(Q113), 0, Q113) &amp; " ptn", "" &amp; G113 &amp; " tot &gt; " &amp; IF(ISBLANK(Q113), 0, Q113) &amp; " ptn"), "")</f>
        <v/>
      </c>
      <c r="H114" s="15" t="str">
        <f t="shared" ref="H114" si="54">IF($E113 = "Bereik", IF(H113 = R113, IF(ISBLANK(R113), 0, R113) &amp; " ptn", "" &amp; H113 &amp; " tot &gt; " &amp; IF(ISBLANK(R113), 0, R113) &amp; " ptn"), "")</f>
        <v/>
      </c>
      <c r="I114" s="15" t="str">
        <f t="shared" ref="I114" si="55">IF($E113 = "Bereik", IF(I113 = S113, IF(ISBLANK(S113), 0, S113) &amp; " ptn", "" &amp; I113 &amp; " tot &gt; " &amp; IF(ISBLANK(S113), 0, S113) &amp; " ptn"), "")</f>
        <v/>
      </c>
      <c r="J114" s="16" t="str">
        <f t="shared" ref="J114" si="56">IF($E113 = "Bereik", IF(J113 = T113, IF(ISBLANK(T113), 0, T113) &amp; " ptn", "" &amp; J113 &amp; " tot &gt; " &amp; IF(ISBLANK(T113), 0, T113) &amp; " ptn"), "")</f>
        <v/>
      </c>
      <c r="L114" s="25" t="b">
        <f t="shared" si="32"/>
        <v>0</v>
      </c>
    </row>
    <row r="115" spans="4:19" ht="74" customHeight="1" x14ac:dyDescent="0.35">
      <c r="D115" s="28"/>
      <c r="E115" s="13" t="s">
        <v>9</v>
      </c>
      <c r="F115" s="30"/>
      <c r="G115" s="30"/>
      <c r="H115" s="30"/>
      <c r="I115" s="30"/>
      <c r="J115" s="30"/>
      <c r="L115" s="25" t="b">
        <f t="shared" si="32"/>
        <v>0</v>
      </c>
    </row>
    <row r="116" spans="4:19" x14ac:dyDescent="0.35">
      <c r="L116" s="25" t="b">
        <f t="shared" si="32"/>
        <v>0</v>
      </c>
    </row>
    <row r="117" spans="4:19" ht="18.5" x14ac:dyDescent="0.45">
      <c r="D117" s="34" t="s">
        <v>7</v>
      </c>
      <c r="E117" s="9"/>
      <c r="F117" s="14"/>
      <c r="G117" s="37"/>
      <c r="H117" s="37"/>
      <c r="I117" s="37"/>
      <c r="J117" s="38"/>
      <c r="L117" s="25" t="b">
        <f t="shared" si="32"/>
        <v>0</v>
      </c>
    </row>
    <row r="118" spans="4:19" ht="20" customHeight="1" x14ac:dyDescent="0.35">
      <c r="D118" s="35"/>
      <c r="E118" s="10"/>
      <c r="F118" s="27"/>
      <c r="G118" s="27"/>
      <c r="H118" s="27"/>
      <c r="I118" s="27"/>
      <c r="J118" s="27"/>
      <c r="L118" s="25" t="b">
        <f t="shared" si="32"/>
        <v>0</v>
      </c>
    </row>
    <row r="119" spans="4:19" ht="20" customHeight="1" x14ac:dyDescent="0.35">
      <c r="D119" s="35"/>
      <c r="E119" s="28" t="s">
        <v>10</v>
      </c>
      <c r="F119" s="27"/>
      <c r="G119" s="27"/>
      <c r="H119" s="27"/>
      <c r="I119" s="27"/>
      <c r="J119" s="27"/>
      <c r="K119" s="17"/>
      <c r="L119" s="25" t="b">
        <f t="shared" si="32"/>
        <v>0</v>
      </c>
      <c r="M119">
        <f>_xlfn.MAXIFS(F119:J119,F118:J118,"&lt;&gt;")</f>
        <v>0</v>
      </c>
      <c r="N119" s="17"/>
      <c r="P119">
        <f>_xlfn.MAXIFS(G119:J119,G119:J119,"&lt;&gt;",G118:J118,"&lt;&gt;")</f>
        <v>0</v>
      </c>
      <c r="Q119">
        <f>_xlfn.MAXIFS(H119:J119,H119:J119,"&lt;&gt;",H118:J118,"&lt;&gt;")</f>
        <v>0</v>
      </c>
      <c r="R119">
        <f>_xlfn.MAXIFS(I119:J119,I119:J119,"&lt;&gt;",I118:J118,"&lt;&gt;")</f>
        <v>0</v>
      </c>
      <c r="S119">
        <f>_xlfn.MAXIFS(J119,J119,"&lt;&gt;",J118,"&lt;&gt;")</f>
        <v>0</v>
      </c>
    </row>
    <row r="120" spans="4:19" ht="20" customHeight="1" x14ac:dyDescent="0.35">
      <c r="D120" s="36"/>
      <c r="E120" s="12"/>
      <c r="F120" s="15" t="str">
        <f>IF($E119 = "Bereik", IF(F119 = P119, IF(ISBLANK(P119), 0, P119) &amp; " ptn", "" &amp; F119 &amp; " tot &gt; " &amp; IF(ISBLANK(P119), 0, P119) &amp; " ptn"), "")</f>
        <v/>
      </c>
      <c r="G120" s="15" t="str">
        <f>IF($E119 = "Bereik", IF(G119 = Q119, IF(ISBLANK(Q119), 0, Q119) &amp; " ptn", "" &amp; G119 &amp; " tot &gt; " &amp; IF(ISBLANK(Q119), 0, Q119) &amp; " ptn"), "")</f>
        <v/>
      </c>
      <c r="H120" s="15" t="str">
        <f t="shared" ref="H120" si="57">IF($E119 = "Bereik", IF(H119 = R119, IF(ISBLANK(R119), 0, R119) &amp; " ptn", "" &amp; H119 &amp; " tot &gt; " &amp; IF(ISBLANK(R119), 0, R119) &amp; " ptn"), "")</f>
        <v/>
      </c>
      <c r="I120" s="15" t="str">
        <f t="shared" ref="I120" si="58">IF($E119 = "Bereik", IF(I119 = S119, IF(ISBLANK(S119), 0, S119) &amp; " ptn", "" &amp; I119 &amp; " tot &gt; " &amp; IF(ISBLANK(S119), 0, S119) &amp; " ptn"), "")</f>
        <v/>
      </c>
      <c r="J120" s="16" t="str">
        <f t="shared" ref="J120" si="59">IF($E119 = "Bereik", IF(J119 = T119, IF(ISBLANK(T119), 0, T119) &amp; " ptn", "" &amp; J119 &amp; " tot &gt; " &amp; IF(ISBLANK(T119), 0, T119) &amp; " ptn"), "")</f>
        <v/>
      </c>
      <c r="L120" s="25" t="b">
        <f t="shared" si="32"/>
        <v>0</v>
      </c>
    </row>
    <row r="121" spans="4:19" ht="74" customHeight="1" x14ac:dyDescent="0.35">
      <c r="D121" s="28"/>
      <c r="E121" s="13" t="s">
        <v>9</v>
      </c>
      <c r="F121" s="30"/>
      <c r="G121" s="30"/>
      <c r="H121" s="30"/>
      <c r="I121" s="30"/>
      <c r="J121" s="30"/>
      <c r="L121" s="25" t="b">
        <f t="shared" si="32"/>
        <v>0</v>
      </c>
    </row>
    <row r="122" spans="4:19" x14ac:dyDescent="0.35">
      <c r="L122" s="25" t="b">
        <f t="shared" si="32"/>
        <v>0</v>
      </c>
    </row>
    <row r="123" spans="4:19" ht="18.5" x14ac:dyDescent="0.45">
      <c r="D123" s="34" t="s">
        <v>7</v>
      </c>
      <c r="E123" s="9"/>
      <c r="F123" s="14"/>
      <c r="G123" s="37"/>
      <c r="H123" s="37"/>
      <c r="I123" s="37"/>
      <c r="J123" s="38"/>
      <c r="L123" s="25" t="b">
        <f t="shared" si="32"/>
        <v>0</v>
      </c>
    </row>
    <row r="124" spans="4:19" ht="20" customHeight="1" x14ac:dyDescent="0.35">
      <c r="D124" s="35"/>
      <c r="E124" s="10"/>
      <c r="F124" s="27"/>
      <c r="G124" s="27"/>
      <c r="H124" s="27"/>
      <c r="I124" s="27"/>
      <c r="J124" s="27"/>
      <c r="L124" s="25" t="b">
        <f t="shared" si="32"/>
        <v>0</v>
      </c>
    </row>
    <row r="125" spans="4:19" ht="20" customHeight="1" x14ac:dyDescent="0.35">
      <c r="D125" s="35"/>
      <c r="E125" s="28" t="s">
        <v>10</v>
      </c>
      <c r="F125" s="27"/>
      <c r="G125" s="27"/>
      <c r="H125" s="27"/>
      <c r="I125" s="27"/>
      <c r="J125" s="27"/>
      <c r="K125" s="17"/>
      <c r="L125" s="25" t="b">
        <f t="shared" si="32"/>
        <v>0</v>
      </c>
      <c r="M125">
        <f>_xlfn.MAXIFS(F125:J125,F124:J124,"&lt;&gt;")</f>
        <v>0</v>
      </c>
      <c r="N125" s="17"/>
      <c r="P125">
        <f>_xlfn.MAXIFS(G125:J125,G125:J125,"&lt;&gt;",G124:J124,"&lt;&gt;")</f>
        <v>0</v>
      </c>
      <c r="Q125">
        <f>_xlfn.MAXIFS(H125:J125,H125:J125,"&lt;&gt;",H124:J124,"&lt;&gt;")</f>
        <v>0</v>
      </c>
      <c r="R125">
        <f>_xlfn.MAXIFS(I125:J125,I125:J125,"&lt;&gt;",I124:J124,"&lt;&gt;")</f>
        <v>0</v>
      </c>
      <c r="S125">
        <f>_xlfn.MAXIFS(J125,J125,"&lt;&gt;",J124,"&lt;&gt;")</f>
        <v>0</v>
      </c>
    </row>
    <row r="126" spans="4:19" ht="20" customHeight="1" x14ac:dyDescent="0.35">
      <c r="D126" s="36"/>
      <c r="E126" s="12"/>
      <c r="F126" s="15" t="str">
        <f>IF($E125 = "Bereik", IF(F125 = P125, IF(ISBLANK(P125), 0, P125) &amp; " ptn", "" &amp; F125 &amp; " tot &gt; " &amp; IF(ISBLANK(P125), 0, P125) &amp; " ptn"), "")</f>
        <v/>
      </c>
      <c r="G126" s="15" t="str">
        <f>IF($E125 = "Bereik", IF(G125 = Q125, IF(ISBLANK(Q125), 0, Q125) &amp; " ptn", "" &amp; G125 &amp; " tot &gt; " &amp; IF(ISBLANK(Q125), 0, Q125) &amp; " ptn"), "")</f>
        <v/>
      </c>
      <c r="H126" s="15" t="str">
        <f t="shared" ref="H126" si="60">IF($E125 = "Bereik", IF(H125 = R125, IF(ISBLANK(R125), 0, R125) &amp; " ptn", "" &amp; H125 &amp; " tot &gt; " &amp; IF(ISBLANK(R125), 0, R125) &amp; " ptn"), "")</f>
        <v/>
      </c>
      <c r="I126" s="15" t="str">
        <f t="shared" ref="I126" si="61">IF($E125 = "Bereik", IF(I125 = S125, IF(ISBLANK(S125), 0, S125) &amp; " ptn", "" &amp; I125 &amp; " tot &gt; " &amp; IF(ISBLANK(S125), 0, S125) &amp; " ptn"), "")</f>
        <v/>
      </c>
      <c r="J126" s="16" t="str">
        <f t="shared" ref="J126" si="62">IF($E125 = "Bereik", IF(J125 = T125, IF(ISBLANK(T125), 0, T125) &amp; " ptn", "" &amp; J125 &amp; " tot &gt; " &amp; IF(ISBLANK(T125), 0, T125) &amp; " ptn"), "")</f>
        <v/>
      </c>
      <c r="L126" s="25" t="b">
        <f t="shared" si="32"/>
        <v>0</v>
      </c>
    </row>
    <row r="127" spans="4:19" ht="74" customHeight="1" x14ac:dyDescent="0.35">
      <c r="D127" s="28"/>
      <c r="E127" s="13" t="s">
        <v>9</v>
      </c>
      <c r="F127" s="30"/>
      <c r="G127" s="30"/>
      <c r="H127" s="30"/>
      <c r="I127" s="30"/>
      <c r="J127" s="30"/>
      <c r="L127" s="25" t="b">
        <f t="shared" si="32"/>
        <v>0</v>
      </c>
    </row>
    <row r="128" spans="4:19" x14ac:dyDescent="0.35">
      <c r="L128" s="25" t="b">
        <f t="shared" si="32"/>
        <v>0</v>
      </c>
    </row>
    <row r="129" spans="4:19" ht="18.5" x14ac:dyDescent="0.45">
      <c r="D129" s="34" t="s">
        <v>7</v>
      </c>
      <c r="E129" s="9"/>
      <c r="F129" s="14"/>
      <c r="G129" s="37"/>
      <c r="H129" s="37"/>
      <c r="I129" s="37"/>
      <c r="J129" s="38"/>
      <c r="L129" s="25" t="b">
        <f t="shared" si="32"/>
        <v>0</v>
      </c>
    </row>
    <row r="130" spans="4:19" ht="20" customHeight="1" x14ac:dyDescent="0.35">
      <c r="D130" s="35"/>
      <c r="E130" s="10"/>
      <c r="F130" s="27"/>
      <c r="G130" s="27"/>
      <c r="H130" s="27"/>
      <c r="I130" s="27"/>
      <c r="J130" s="27"/>
      <c r="L130" s="25" t="b">
        <f t="shared" si="32"/>
        <v>0</v>
      </c>
    </row>
    <row r="131" spans="4:19" ht="20" customHeight="1" x14ac:dyDescent="0.35">
      <c r="D131" s="35"/>
      <c r="E131" s="28" t="s">
        <v>10</v>
      </c>
      <c r="F131" s="27"/>
      <c r="G131" s="27"/>
      <c r="H131" s="27"/>
      <c r="I131" s="27"/>
      <c r="J131" s="27"/>
      <c r="K131" s="17"/>
      <c r="L131" s="25" t="b">
        <f t="shared" si="32"/>
        <v>0</v>
      </c>
      <c r="M131">
        <f>_xlfn.MAXIFS(F131:J131,F130:J130,"&lt;&gt;")</f>
        <v>0</v>
      </c>
      <c r="N131" s="17"/>
      <c r="P131">
        <f>_xlfn.MAXIFS(G131:J131,G131:J131,"&lt;&gt;",G130:J130,"&lt;&gt;")</f>
        <v>0</v>
      </c>
      <c r="Q131">
        <f>_xlfn.MAXIFS(H131:J131,H131:J131,"&lt;&gt;",H130:J130,"&lt;&gt;")</f>
        <v>0</v>
      </c>
      <c r="R131">
        <f>_xlfn.MAXIFS(I131:J131,I131:J131,"&lt;&gt;",I130:J130,"&lt;&gt;")</f>
        <v>0</v>
      </c>
      <c r="S131">
        <f>_xlfn.MAXIFS(J131,J131,"&lt;&gt;",J130,"&lt;&gt;")</f>
        <v>0</v>
      </c>
    </row>
    <row r="132" spans="4:19" ht="20" customHeight="1" x14ac:dyDescent="0.35">
      <c r="D132" s="36"/>
      <c r="E132" s="12"/>
      <c r="F132" s="15" t="str">
        <f>IF($E131 = "Bereik", IF(F131 = P131, IF(ISBLANK(P131), 0, P131) &amp; " ptn", "" &amp; F131 &amp; " tot &gt; " &amp; IF(ISBLANK(P131), 0, P131) &amp; " ptn"), "")</f>
        <v/>
      </c>
      <c r="G132" s="15" t="str">
        <f>IF($E131 = "Bereik", IF(G131 = Q131, IF(ISBLANK(Q131), 0, Q131) &amp; " ptn", "" &amp; G131 &amp; " tot &gt; " &amp; IF(ISBLANK(Q131), 0, Q131) &amp; " ptn"), "")</f>
        <v/>
      </c>
      <c r="H132" s="15" t="str">
        <f t="shared" ref="H132" si="63">IF($E131 = "Bereik", IF(H131 = R131, IF(ISBLANK(R131), 0, R131) &amp; " ptn", "" &amp; H131 &amp; " tot &gt; " &amp; IF(ISBLANK(R131), 0, R131) &amp; " ptn"), "")</f>
        <v/>
      </c>
      <c r="I132" s="15" t="str">
        <f t="shared" ref="I132" si="64">IF($E131 = "Bereik", IF(I131 = S131, IF(ISBLANK(S131), 0, S131) &amp; " ptn", "" &amp; I131 &amp; " tot &gt; " &amp; IF(ISBLANK(S131), 0, S131) &amp; " ptn"), "")</f>
        <v/>
      </c>
      <c r="J132" s="16" t="str">
        <f t="shared" ref="J132" si="65">IF($E131 = "Bereik", IF(J131 = T131, IF(ISBLANK(T131), 0, T131) &amp; " ptn", "" &amp; J131 &amp; " tot &gt; " &amp; IF(ISBLANK(T131), 0, T131) &amp; " ptn"), "")</f>
        <v/>
      </c>
      <c r="L132" s="25" t="b">
        <f t="shared" si="32"/>
        <v>0</v>
      </c>
    </row>
    <row r="133" spans="4:19" ht="74" customHeight="1" x14ac:dyDescent="0.35">
      <c r="D133" s="28"/>
      <c r="E133" s="13" t="s">
        <v>9</v>
      </c>
      <c r="F133" s="30"/>
      <c r="G133" s="30"/>
      <c r="H133" s="30"/>
      <c r="I133" s="30"/>
      <c r="J133" s="30"/>
      <c r="L133" s="25" t="b">
        <f t="shared" ref="L133:L187" si="66">IF(AND(NOT(ISBLANK(D133)),MOD(ROW($D133),6)-1=0),TRUE,FALSE)</f>
        <v>0</v>
      </c>
    </row>
    <row r="134" spans="4:19" x14ac:dyDescent="0.35">
      <c r="L134" s="25" t="b">
        <f t="shared" si="66"/>
        <v>0</v>
      </c>
    </row>
    <row r="135" spans="4:19" ht="18.5" x14ac:dyDescent="0.45">
      <c r="D135" s="34" t="s">
        <v>7</v>
      </c>
      <c r="E135" s="9"/>
      <c r="F135" s="14"/>
      <c r="G135" s="37"/>
      <c r="H135" s="37"/>
      <c r="I135" s="37"/>
      <c r="J135" s="38"/>
      <c r="L135" s="25" t="b">
        <f t="shared" si="66"/>
        <v>0</v>
      </c>
    </row>
    <row r="136" spans="4:19" ht="20" customHeight="1" x14ac:dyDescent="0.35">
      <c r="D136" s="35"/>
      <c r="E136" s="10"/>
      <c r="F136" s="27"/>
      <c r="G136" s="27"/>
      <c r="H136" s="27"/>
      <c r="I136" s="27"/>
      <c r="J136" s="27"/>
      <c r="L136" s="25" t="b">
        <f t="shared" si="66"/>
        <v>0</v>
      </c>
    </row>
    <row r="137" spans="4:19" ht="20" customHeight="1" x14ac:dyDescent="0.35">
      <c r="D137" s="35"/>
      <c r="E137" s="28" t="s">
        <v>10</v>
      </c>
      <c r="F137" s="27"/>
      <c r="G137" s="27"/>
      <c r="H137" s="27"/>
      <c r="I137" s="27"/>
      <c r="J137" s="27"/>
      <c r="K137" s="17"/>
      <c r="L137" s="25" t="b">
        <f t="shared" si="66"/>
        <v>0</v>
      </c>
      <c r="M137">
        <f>_xlfn.MAXIFS(F137:J137,F136:J136,"&lt;&gt;")</f>
        <v>0</v>
      </c>
      <c r="N137" s="17"/>
      <c r="P137">
        <f>_xlfn.MAXIFS(G137:J137,G137:J137,"&lt;&gt;",G136:J136,"&lt;&gt;")</f>
        <v>0</v>
      </c>
      <c r="Q137">
        <f>_xlfn.MAXIFS(H137:J137,H137:J137,"&lt;&gt;",H136:J136,"&lt;&gt;")</f>
        <v>0</v>
      </c>
      <c r="R137">
        <f>_xlfn.MAXIFS(I137:J137,I137:J137,"&lt;&gt;",I136:J136,"&lt;&gt;")</f>
        <v>0</v>
      </c>
      <c r="S137">
        <f>_xlfn.MAXIFS(J137,J137,"&lt;&gt;",J136,"&lt;&gt;")</f>
        <v>0</v>
      </c>
    </row>
    <row r="138" spans="4:19" ht="20" customHeight="1" x14ac:dyDescent="0.35">
      <c r="D138" s="36"/>
      <c r="E138" s="12"/>
      <c r="F138" s="15" t="str">
        <f>IF($E137 = "Bereik", IF(F137 = P137, IF(ISBLANK(P137), 0, P137) &amp; " ptn", "" &amp; F137 &amp; " tot &gt; " &amp; IF(ISBLANK(P137), 0, P137) &amp; " ptn"), "")</f>
        <v/>
      </c>
      <c r="G138" s="15" t="str">
        <f>IF($E137 = "Bereik", IF(G137 = Q137, IF(ISBLANK(Q137), 0, Q137) &amp; " ptn", "" &amp; G137 &amp; " tot &gt; " &amp; IF(ISBLANK(Q137), 0, Q137) &amp; " ptn"), "")</f>
        <v/>
      </c>
      <c r="H138" s="15" t="str">
        <f t="shared" ref="H138" si="67">IF($E137 = "Bereik", IF(H137 = R137, IF(ISBLANK(R137), 0, R137) &amp; " ptn", "" &amp; H137 &amp; " tot &gt; " &amp; IF(ISBLANK(R137), 0, R137) &amp; " ptn"), "")</f>
        <v/>
      </c>
      <c r="I138" s="15" t="str">
        <f t="shared" ref="I138" si="68">IF($E137 = "Bereik", IF(I137 = S137, IF(ISBLANK(S137), 0, S137) &amp; " ptn", "" &amp; I137 &amp; " tot &gt; " &amp; IF(ISBLANK(S137), 0, S137) &amp; " ptn"), "")</f>
        <v/>
      </c>
      <c r="J138" s="16" t="str">
        <f t="shared" ref="J138" si="69">IF($E137 = "Bereik", IF(J137 = T137, IF(ISBLANK(T137), 0, T137) &amp; " ptn", "" &amp; J137 &amp; " tot &gt; " &amp; IF(ISBLANK(T137), 0, T137) &amp; " ptn"), "")</f>
        <v/>
      </c>
      <c r="L138" s="25" t="b">
        <f t="shared" si="66"/>
        <v>0</v>
      </c>
    </row>
    <row r="139" spans="4:19" ht="74" customHeight="1" x14ac:dyDescent="0.35">
      <c r="D139" s="28"/>
      <c r="E139" s="13" t="s">
        <v>9</v>
      </c>
      <c r="F139" s="30"/>
      <c r="G139" s="30"/>
      <c r="H139" s="30"/>
      <c r="I139" s="30"/>
      <c r="J139" s="30"/>
      <c r="L139" s="25" t="b">
        <f t="shared" si="66"/>
        <v>0</v>
      </c>
    </row>
    <row r="140" spans="4:19" x14ac:dyDescent="0.35">
      <c r="L140" s="25" t="b">
        <f t="shared" si="66"/>
        <v>0</v>
      </c>
    </row>
    <row r="141" spans="4:19" ht="18.5" x14ac:dyDescent="0.45">
      <c r="D141" s="34" t="s">
        <v>7</v>
      </c>
      <c r="E141" s="9"/>
      <c r="F141" s="14"/>
      <c r="G141" s="37"/>
      <c r="H141" s="37"/>
      <c r="I141" s="37"/>
      <c r="J141" s="38"/>
      <c r="L141" s="25" t="b">
        <f t="shared" si="66"/>
        <v>0</v>
      </c>
    </row>
    <row r="142" spans="4:19" ht="20" customHeight="1" x14ac:dyDescent="0.35">
      <c r="D142" s="35"/>
      <c r="E142" s="10"/>
      <c r="F142" s="27"/>
      <c r="G142" s="27"/>
      <c r="H142" s="27"/>
      <c r="I142" s="27"/>
      <c r="J142" s="27"/>
      <c r="L142" s="25" t="b">
        <f t="shared" si="66"/>
        <v>0</v>
      </c>
    </row>
    <row r="143" spans="4:19" ht="20" customHeight="1" x14ac:dyDescent="0.35">
      <c r="D143" s="35"/>
      <c r="E143" s="28" t="s">
        <v>10</v>
      </c>
      <c r="F143" s="27"/>
      <c r="G143" s="27"/>
      <c r="H143" s="27"/>
      <c r="I143" s="27"/>
      <c r="J143" s="27"/>
      <c r="K143" s="17"/>
      <c r="L143" s="25" t="b">
        <f t="shared" si="66"/>
        <v>0</v>
      </c>
      <c r="M143">
        <f>_xlfn.MAXIFS(F143:J143,F142:J142,"&lt;&gt;")</f>
        <v>0</v>
      </c>
      <c r="N143" s="17"/>
      <c r="P143">
        <f>_xlfn.MAXIFS(G143:J143,G143:J143,"&lt;&gt;",G142:J142,"&lt;&gt;")</f>
        <v>0</v>
      </c>
      <c r="Q143">
        <f>_xlfn.MAXIFS(H143:J143,H143:J143,"&lt;&gt;",H142:J142,"&lt;&gt;")</f>
        <v>0</v>
      </c>
      <c r="R143">
        <f>_xlfn.MAXIFS(I143:J143,I143:J143,"&lt;&gt;",I142:J142,"&lt;&gt;")</f>
        <v>0</v>
      </c>
      <c r="S143">
        <f>_xlfn.MAXIFS(J143,J143,"&lt;&gt;",J142,"&lt;&gt;")</f>
        <v>0</v>
      </c>
    </row>
    <row r="144" spans="4:19" ht="20" customHeight="1" x14ac:dyDescent="0.35">
      <c r="D144" s="36"/>
      <c r="E144" s="12"/>
      <c r="F144" s="15" t="str">
        <f>IF($E143 = "Bereik", IF(F143 = P143, IF(ISBLANK(P143), 0, P143) &amp; " ptn", "" &amp; F143 &amp; " tot &gt; " &amp; IF(ISBLANK(P143), 0, P143) &amp; " ptn"), "")</f>
        <v/>
      </c>
      <c r="G144" s="15" t="str">
        <f>IF($E143 = "Bereik", IF(G143 = Q143, IF(ISBLANK(Q143), 0, Q143) &amp; " ptn", "" &amp; G143 &amp; " tot &gt; " &amp; IF(ISBLANK(Q143), 0, Q143) &amp; " ptn"), "")</f>
        <v/>
      </c>
      <c r="H144" s="15" t="str">
        <f t="shared" ref="H144" si="70">IF($E143 = "Bereik", IF(H143 = R143, IF(ISBLANK(R143), 0, R143) &amp; " ptn", "" &amp; H143 &amp; " tot &gt; " &amp; IF(ISBLANK(R143), 0, R143) &amp; " ptn"), "")</f>
        <v/>
      </c>
      <c r="I144" s="15" t="str">
        <f t="shared" ref="I144" si="71">IF($E143 = "Bereik", IF(I143 = S143, IF(ISBLANK(S143), 0, S143) &amp; " ptn", "" &amp; I143 &amp; " tot &gt; " &amp; IF(ISBLANK(S143), 0, S143) &amp; " ptn"), "")</f>
        <v/>
      </c>
      <c r="J144" s="16" t="str">
        <f t="shared" ref="J144" si="72">IF($E143 = "Bereik", IF(J143 = T143, IF(ISBLANK(T143), 0, T143) &amp; " ptn", "" &amp; J143 &amp; " tot &gt; " &amp; IF(ISBLANK(T143), 0, T143) &amp; " ptn"), "")</f>
        <v/>
      </c>
      <c r="L144" s="25" t="b">
        <f t="shared" si="66"/>
        <v>0</v>
      </c>
    </row>
    <row r="145" spans="4:19" ht="74" customHeight="1" x14ac:dyDescent="0.35">
      <c r="D145" s="28"/>
      <c r="E145" s="13" t="s">
        <v>9</v>
      </c>
      <c r="F145" s="30"/>
      <c r="G145" s="30"/>
      <c r="H145" s="30"/>
      <c r="I145" s="30"/>
      <c r="J145" s="30"/>
      <c r="L145" s="25" t="b">
        <f t="shared" si="66"/>
        <v>0</v>
      </c>
    </row>
    <row r="146" spans="4:19" x14ac:dyDescent="0.35">
      <c r="L146" s="25" t="b">
        <f t="shared" si="66"/>
        <v>0</v>
      </c>
    </row>
    <row r="147" spans="4:19" ht="18.5" x14ac:dyDescent="0.45">
      <c r="D147" s="34" t="s">
        <v>7</v>
      </c>
      <c r="E147" s="9"/>
      <c r="F147" s="14"/>
      <c r="G147" s="37"/>
      <c r="H147" s="37"/>
      <c r="I147" s="37"/>
      <c r="J147" s="38"/>
      <c r="L147" s="25" t="b">
        <f t="shared" si="66"/>
        <v>0</v>
      </c>
    </row>
    <row r="148" spans="4:19" ht="20" customHeight="1" x14ac:dyDescent="0.35">
      <c r="D148" s="35"/>
      <c r="E148" s="10"/>
      <c r="F148" s="27"/>
      <c r="G148" s="27"/>
      <c r="H148" s="27"/>
      <c r="I148" s="27"/>
      <c r="J148" s="27"/>
      <c r="L148" s="25" t="b">
        <f t="shared" si="66"/>
        <v>0</v>
      </c>
    </row>
    <row r="149" spans="4:19" ht="20" customHeight="1" x14ac:dyDescent="0.35">
      <c r="D149" s="35"/>
      <c r="E149" s="28" t="s">
        <v>10</v>
      </c>
      <c r="F149" s="27"/>
      <c r="G149" s="27"/>
      <c r="H149" s="27"/>
      <c r="I149" s="27"/>
      <c r="J149" s="27"/>
      <c r="K149" s="17"/>
      <c r="L149" s="25" t="b">
        <f t="shared" si="66"/>
        <v>0</v>
      </c>
      <c r="M149">
        <f>_xlfn.MAXIFS(F149:J149,F148:J148,"&lt;&gt;")</f>
        <v>0</v>
      </c>
      <c r="N149" s="17"/>
      <c r="P149">
        <f>_xlfn.MAXIFS(G149:J149,G149:J149,"&lt;&gt;",G148:J148,"&lt;&gt;")</f>
        <v>0</v>
      </c>
      <c r="Q149">
        <f>_xlfn.MAXIFS(H149:J149,H149:J149,"&lt;&gt;",H148:J148,"&lt;&gt;")</f>
        <v>0</v>
      </c>
      <c r="R149">
        <f>_xlfn.MAXIFS(I149:J149,I149:J149,"&lt;&gt;",I148:J148,"&lt;&gt;")</f>
        <v>0</v>
      </c>
      <c r="S149">
        <f>_xlfn.MAXIFS(J149,J149,"&lt;&gt;",J148,"&lt;&gt;")</f>
        <v>0</v>
      </c>
    </row>
    <row r="150" spans="4:19" ht="20" customHeight="1" x14ac:dyDescent="0.35">
      <c r="D150" s="36"/>
      <c r="E150" s="12"/>
      <c r="F150" s="15" t="str">
        <f>IF($E149 = "Bereik", IF(F149 = P149, IF(ISBLANK(P149), 0, P149) &amp; " ptn", "" &amp; F149 &amp; " tot &gt; " &amp; IF(ISBLANK(P149), 0, P149) &amp; " ptn"), "")</f>
        <v/>
      </c>
      <c r="G150" s="15" t="str">
        <f>IF($E149 = "Bereik", IF(G149 = Q149, IF(ISBLANK(Q149), 0, Q149) &amp; " ptn", "" &amp; G149 &amp; " tot &gt; " &amp; IF(ISBLANK(Q149), 0, Q149) &amp; " ptn"), "")</f>
        <v/>
      </c>
      <c r="H150" s="15" t="str">
        <f t="shared" ref="H150" si="73">IF($E149 = "Bereik", IF(H149 = R149, IF(ISBLANK(R149), 0, R149) &amp; " ptn", "" &amp; H149 &amp; " tot &gt; " &amp; IF(ISBLANK(R149), 0, R149) &amp; " ptn"), "")</f>
        <v/>
      </c>
      <c r="I150" s="15" t="str">
        <f t="shared" ref="I150" si="74">IF($E149 = "Bereik", IF(I149 = S149, IF(ISBLANK(S149), 0, S149) &amp; " ptn", "" &amp; I149 &amp; " tot &gt; " &amp; IF(ISBLANK(S149), 0, S149) &amp; " ptn"), "")</f>
        <v/>
      </c>
      <c r="J150" s="16" t="str">
        <f t="shared" ref="J150" si="75">IF($E149 = "Bereik", IF(J149 = T149, IF(ISBLANK(T149), 0, T149) &amp; " ptn", "" &amp; J149 &amp; " tot &gt; " &amp; IF(ISBLANK(T149), 0, T149) &amp; " ptn"), "")</f>
        <v/>
      </c>
      <c r="L150" s="25" t="b">
        <f t="shared" si="66"/>
        <v>0</v>
      </c>
    </row>
    <row r="151" spans="4:19" ht="74" customHeight="1" x14ac:dyDescent="0.35">
      <c r="D151" s="28"/>
      <c r="E151" s="13" t="s">
        <v>9</v>
      </c>
      <c r="F151" s="30"/>
      <c r="G151" s="30"/>
      <c r="H151" s="30"/>
      <c r="I151" s="30"/>
      <c r="J151" s="30"/>
      <c r="L151" s="25" t="b">
        <f t="shared" si="66"/>
        <v>0</v>
      </c>
    </row>
    <row r="152" spans="4:19" x14ac:dyDescent="0.35">
      <c r="L152" s="25" t="b">
        <f t="shared" si="66"/>
        <v>0</v>
      </c>
    </row>
    <row r="153" spans="4:19" ht="18.5" x14ac:dyDescent="0.45">
      <c r="D153" s="34" t="s">
        <v>7</v>
      </c>
      <c r="E153" s="9"/>
      <c r="F153" s="14"/>
      <c r="G153" s="37"/>
      <c r="H153" s="37"/>
      <c r="I153" s="37"/>
      <c r="J153" s="38"/>
      <c r="L153" s="25" t="b">
        <f t="shared" si="66"/>
        <v>0</v>
      </c>
    </row>
    <row r="154" spans="4:19" ht="20" customHeight="1" x14ac:dyDescent="0.35">
      <c r="D154" s="35"/>
      <c r="E154" s="10"/>
      <c r="F154" s="27"/>
      <c r="G154" s="27"/>
      <c r="H154" s="27"/>
      <c r="I154" s="27"/>
      <c r="J154" s="27"/>
      <c r="L154" s="25" t="b">
        <f t="shared" si="66"/>
        <v>0</v>
      </c>
    </row>
    <row r="155" spans="4:19" ht="20" customHeight="1" x14ac:dyDescent="0.35">
      <c r="D155" s="35"/>
      <c r="E155" s="28" t="s">
        <v>10</v>
      </c>
      <c r="F155" s="27"/>
      <c r="G155" s="27"/>
      <c r="H155" s="27"/>
      <c r="I155" s="27"/>
      <c r="J155" s="27"/>
      <c r="K155" s="17"/>
      <c r="L155" s="25" t="b">
        <f t="shared" si="66"/>
        <v>0</v>
      </c>
      <c r="M155">
        <f>_xlfn.MAXIFS(F155:J155,F154:J154,"&lt;&gt;")</f>
        <v>0</v>
      </c>
      <c r="N155" s="17"/>
      <c r="P155">
        <f>_xlfn.MAXIFS(G155:J155,G155:J155,"&lt;&gt;",G154:J154,"&lt;&gt;")</f>
        <v>0</v>
      </c>
      <c r="Q155">
        <f>_xlfn.MAXIFS(H155:J155,H155:J155,"&lt;&gt;",H154:J154,"&lt;&gt;")</f>
        <v>0</v>
      </c>
      <c r="R155">
        <f>_xlfn.MAXIFS(I155:J155,I155:J155,"&lt;&gt;",I154:J154,"&lt;&gt;")</f>
        <v>0</v>
      </c>
      <c r="S155">
        <f>_xlfn.MAXIFS(J155,J155,"&lt;&gt;",J154,"&lt;&gt;")</f>
        <v>0</v>
      </c>
    </row>
    <row r="156" spans="4:19" ht="20" customHeight="1" x14ac:dyDescent="0.35">
      <c r="D156" s="36"/>
      <c r="E156" s="12"/>
      <c r="F156" s="15" t="str">
        <f>IF($E155 = "Bereik", IF(F155 = P155, IF(ISBLANK(P155), 0, P155) &amp; " ptn", "" &amp; F155 &amp; " tot &gt; " &amp; IF(ISBLANK(P155), 0, P155) &amp; " ptn"), "")</f>
        <v/>
      </c>
      <c r="G156" s="15" t="str">
        <f>IF($E155 = "Bereik", IF(G155 = Q155, IF(ISBLANK(Q155), 0, Q155) &amp; " ptn", "" &amp; G155 &amp; " tot &gt; " &amp; IF(ISBLANK(Q155), 0, Q155) &amp; " ptn"), "")</f>
        <v/>
      </c>
      <c r="H156" s="15" t="str">
        <f t="shared" ref="H156" si="76">IF($E155 = "Bereik", IF(H155 = R155, IF(ISBLANK(R155), 0, R155) &amp; " ptn", "" &amp; H155 &amp; " tot &gt; " &amp; IF(ISBLANK(R155), 0, R155) &amp; " ptn"), "")</f>
        <v/>
      </c>
      <c r="I156" s="15" t="str">
        <f t="shared" ref="I156" si="77">IF($E155 = "Bereik", IF(I155 = S155, IF(ISBLANK(S155), 0, S155) &amp; " ptn", "" &amp; I155 &amp; " tot &gt; " &amp; IF(ISBLANK(S155), 0, S155) &amp; " ptn"), "")</f>
        <v/>
      </c>
      <c r="J156" s="16" t="str">
        <f t="shared" ref="J156" si="78">IF($E155 = "Bereik", IF(J155 = T155, IF(ISBLANK(T155), 0, T155) &amp; " ptn", "" &amp; J155 &amp; " tot &gt; " &amp; IF(ISBLANK(T155), 0, T155) &amp; " ptn"), "")</f>
        <v/>
      </c>
      <c r="L156" s="25" t="b">
        <f t="shared" si="66"/>
        <v>0</v>
      </c>
    </row>
    <row r="157" spans="4:19" ht="74" customHeight="1" x14ac:dyDescent="0.35">
      <c r="D157" s="28"/>
      <c r="E157" s="13" t="s">
        <v>9</v>
      </c>
      <c r="F157" s="30"/>
      <c r="G157" s="30"/>
      <c r="H157" s="30"/>
      <c r="I157" s="30"/>
      <c r="J157" s="30"/>
      <c r="L157" s="25" t="b">
        <f t="shared" si="66"/>
        <v>0</v>
      </c>
    </row>
    <row r="158" spans="4:19" x14ac:dyDescent="0.35">
      <c r="L158" s="25" t="b">
        <f t="shared" si="66"/>
        <v>0</v>
      </c>
    </row>
    <row r="159" spans="4:19" ht="18.5" x14ac:dyDescent="0.45">
      <c r="D159" s="34" t="s">
        <v>7</v>
      </c>
      <c r="E159" s="9"/>
      <c r="F159" s="14"/>
      <c r="G159" s="37"/>
      <c r="H159" s="37"/>
      <c r="I159" s="37"/>
      <c r="J159" s="38"/>
      <c r="L159" s="25" t="b">
        <f t="shared" si="66"/>
        <v>0</v>
      </c>
    </row>
    <row r="160" spans="4:19" ht="20" customHeight="1" x14ac:dyDescent="0.35">
      <c r="D160" s="35"/>
      <c r="E160" s="10"/>
      <c r="F160" s="27"/>
      <c r="G160" s="27"/>
      <c r="H160" s="27"/>
      <c r="I160" s="27"/>
      <c r="J160" s="27"/>
      <c r="L160" s="25" t="b">
        <f t="shared" si="66"/>
        <v>0</v>
      </c>
    </row>
    <row r="161" spans="4:19" ht="20" customHeight="1" x14ac:dyDescent="0.35">
      <c r="D161" s="35"/>
      <c r="E161" s="28" t="s">
        <v>10</v>
      </c>
      <c r="F161" s="27"/>
      <c r="G161" s="27"/>
      <c r="H161" s="27"/>
      <c r="I161" s="27"/>
      <c r="J161" s="27"/>
      <c r="K161" s="17"/>
      <c r="L161" s="25" t="b">
        <f t="shared" si="66"/>
        <v>0</v>
      </c>
      <c r="M161">
        <f>_xlfn.MAXIFS(F161:J161,F160:J160,"&lt;&gt;")</f>
        <v>0</v>
      </c>
      <c r="N161" s="17"/>
      <c r="P161">
        <f>_xlfn.MAXIFS(G161:J161,G161:J161,"&lt;&gt;",G160:J160,"&lt;&gt;")</f>
        <v>0</v>
      </c>
      <c r="Q161">
        <f>_xlfn.MAXIFS(H161:J161,H161:J161,"&lt;&gt;",H160:J160,"&lt;&gt;")</f>
        <v>0</v>
      </c>
      <c r="R161">
        <f>_xlfn.MAXIFS(I161:J161,I161:J161,"&lt;&gt;",I160:J160,"&lt;&gt;")</f>
        <v>0</v>
      </c>
      <c r="S161">
        <f>_xlfn.MAXIFS(J161,J161,"&lt;&gt;",J160,"&lt;&gt;")</f>
        <v>0</v>
      </c>
    </row>
    <row r="162" spans="4:19" ht="20" customHeight="1" x14ac:dyDescent="0.35">
      <c r="D162" s="36"/>
      <c r="E162" s="12"/>
      <c r="F162" s="15" t="str">
        <f>IF($E161 = "Bereik", IF(F161 = P161, IF(ISBLANK(P161), 0, P161) &amp; " ptn", "" &amp; F161 &amp; " tot &gt; " &amp; IF(ISBLANK(P161), 0, P161) &amp; " ptn"), "")</f>
        <v/>
      </c>
      <c r="G162" s="15" t="str">
        <f>IF($E161 = "Bereik", IF(G161 = Q161, IF(ISBLANK(Q161), 0, Q161) &amp; " ptn", "" &amp; G161 &amp; " tot &gt; " &amp; IF(ISBLANK(Q161), 0, Q161) &amp; " ptn"), "")</f>
        <v/>
      </c>
      <c r="H162" s="15" t="str">
        <f t="shared" ref="H162" si="79">IF($E161 = "Bereik", IF(H161 = R161, IF(ISBLANK(R161), 0, R161) &amp; " ptn", "" &amp; H161 &amp; " tot &gt; " &amp; IF(ISBLANK(R161), 0, R161) &amp; " ptn"), "")</f>
        <v/>
      </c>
      <c r="I162" s="15" t="str">
        <f t="shared" ref="I162" si="80">IF($E161 = "Bereik", IF(I161 = S161, IF(ISBLANK(S161), 0, S161) &amp; " ptn", "" &amp; I161 &amp; " tot &gt; " &amp; IF(ISBLANK(S161), 0, S161) &amp; " ptn"), "")</f>
        <v/>
      </c>
      <c r="J162" s="16" t="str">
        <f t="shared" ref="J162" si="81">IF($E161 = "Bereik", IF(J161 = T161, IF(ISBLANK(T161), 0, T161) &amp; " ptn", "" &amp; J161 &amp; " tot &gt; " &amp; IF(ISBLANK(T161), 0, T161) &amp; " ptn"), "")</f>
        <v/>
      </c>
      <c r="L162" s="25" t="b">
        <f t="shared" si="66"/>
        <v>0</v>
      </c>
    </row>
    <row r="163" spans="4:19" ht="74" customHeight="1" x14ac:dyDescent="0.35">
      <c r="D163" s="28"/>
      <c r="E163" s="13" t="s">
        <v>9</v>
      </c>
      <c r="F163" s="30"/>
      <c r="G163" s="30"/>
      <c r="H163" s="30"/>
      <c r="I163" s="30"/>
      <c r="J163" s="30"/>
      <c r="L163" s="25" t="b">
        <f t="shared" si="66"/>
        <v>0</v>
      </c>
    </row>
    <row r="164" spans="4:19" x14ac:dyDescent="0.35">
      <c r="L164" s="25" t="b">
        <f t="shared" si="66"/>
        <v>0</v>
      </c>
    </row>
    <row r="165" spans="4:19" ht="18.5" x14ac:dyDescent="0.45">
      <c r="D165" s="34" t="s">
        <v>7</v>
      </c>
      <c r="E165" s="9"/>
      <c r="F165" s="14"/>
      <c r="G165" s="37"/>
      <c r="H165" s="37"/>
      <c r="I165" s="37"/>
      <c r="J165" s="38"/>
      <c r="L165" s="25" t="b">
        <f t="shared" si="66"/>
        <v>0</v>
      </c>
    </row>
    <row r="166" spans="4:19" ht="20" customHeight="1" x14ac:dyDescent="0.35">
      <c r="D166" s="35"/>
      <c r="E166" s="10"/>
      <c r="F166" s="27"/>
      <c r="G166" s="27"/>
      <c r="H166" s="27"/>
      <c r="I166" s="27"/>
      <c r="J166" s="27"/>
      <c r="L166" s="25" t="b">
        <f t="shared" si="66"/>
        <v>0</v>
      </c>
    </row>
    <row r="167" spans="4:19" ht="20" customHeight="1" x14ac:dyDescent="0.35">
      <c r="D167" s="35"/>
      <c r="E167" s="28" t="s">
        <v>10</v>
      </c>
      <c r="F167" s="27"/>
      <c r="G167" s="27"/>
      <c r="H167" s="27"/>
      <c r="I167" s="27"/>
      <c r="J167" s="27"/>
      <c r="K167" s="17"/>
      <c r="L167" s="25" t="b">
        <f t="shared" si="66"/>
        <v>0</v>
      </c>
      <c r="M167">
        <f>_xlfn.MAXIFS(F167:J167,F166:J166,"&lt;&gt;")</f>
        <v>0</v>
      </c>
      <c r="N167" s="17"/>
      <c r="P167">
        <f>_xlfn.MAXIFS(G167:J167,G167:J167,"&lt;&gt;",G166:J166,"&lt;&gt;")</f>
        <v>0</v>
      </c>
      <c r="Q167">
        <f>_xlfn.MAXIFS(H167:J167,H167:J167,"&lt;&gt;",H166:J166,"&lt;&gt;")</f>
        <v>0</v>
      </c>
      <c r="R167">
        <f>_xlfn.MAXIFS(I167:J167,I167:J167,"&lt;&gt;",I166:J166,"&lt;&gt;")</f>
        <v>0</v>
      </c>
      <c r="S167">
        <f>_xlfn.MAXIFS(J167,J167,"&lt;&gt;",J166,"&lt;&gt;")</f>
        <v>0</v>
      </c>
    </row>
    <row r="168" spans="4:19" ht="20" customHeight="1" x14ac:dyDescent="0.35">
      <c r="D168" s="36"/>
      <c r="E168" s="12"/>
      <c r="F168" s="15" t="str">
        <f>IF($E167 = "Bereik", IF(F167 = P167, IF(ISBLANK(P167), 0, P167) &amp; " ptn", "" &amp; F167 &amp; " tot &gt; " &amp; IF(ISBLANK(P167), 0, P167) &amp; " ptn"), "")</f>
        <v/>
      </c>
      <c r="G168" s="15" t="str">
        <f>IF($E167 = "Bereik", IF(G167 = Q167, IF(ISBLANK(Q167), 0, Q167) &amp; " ptn", "" &amp; G167 &amp; " tot &gt; " &amp; IF(ISBLANK(Q167), 0, Q167) &amp; " ptn"), "")</f>
        <v/>
      </c>
      <c r="H168" s="15" t="str">
        <f t="shared" ref="H168" si="82">IF($E167 = "Bereik", IF(H167 = R167, IF(ISBLANK(R167), 0, R167) &amp; " ptn", "" &amp; H167 &amp; " tot &gt; " &amp; IF(ISBLANK(R167), 0, R167) &amp; " ptn"), "")</f>
        <v/>
      </c>
      <c r="I168" s="15" t="str">
        <f t="shared" ref="I168" si="83">IF($E167 = "Bereik", IF(I167 = S167, IF(ISBLANK(S167), 0, S167) &amp; " ptn", "" &amp; I167 &amp; " tot &gt; " &amp; IF(ISBLANK(S167), 0, S167) &amp; " ptn"), "")</f>
        <v/>
      </c>
      <c r="J168" s="16" t="str">
        <f t="shared" ref="J168" si="84">IF($E167 = "Bereik", IF(J167 = T167, IF(ISBLANK(T167), 0, T167) &amp; " ptn", "" &amp; J167 &amp; " tot &gt; " &amp; IF(ISBLANK(T167), 0, T167) &amp; " ptn"), "")</f>
        <v/>
      </c>
      <c r="L168" s="25" t="b">
        <f t="shared" si="66"/>
        <v>0</v>
      </c>
    </row>
    <row r="169" spans="4:19" ht="74" customHeight="1" x14ac:dyDescent="0.35">
      <c r="D169" s="28"/>
      <c r="E169" s="13" t="s">
        <v>9</v>
      </c>
      <c r="F169" s="30"/>
      <c r="G169" s="30"/>
      <c r="H169" s="30"/>
      <c r="I169" s="30"/>
      <c r="J169" s="30"/>
      <c r="L169" s="25" t="b">
        <f t="shared" si="66"/>
        <v>0</v>
      </c>
    </row>
    <row r="170" spans="4:19" x14ac:dyDescent="0.35">
      <c r="L170" s="25" t="b">
        <f t="shared" si="66"/>
        <v>0</v>
      </c>
    </row>
    <row r="171" spans="4:19" ht="18.5" x14ac:dyDescent="0.45">
      <c r="D171" s="34" t="s">
        <v>7</v>
      </c>
      <c r="E171" s="9"/>
      <c r="F171" s="14"/>
      <c r="G171" s="37"/>
      <c r="H171" s="37"/>
      <c r="I171" s="37"/>
      <c r="J171" s="38"/>
      <c r="L171" s="25" t="b">
        <f t="shared" si="66"/>
        <v>0</v>
      </c>
    </row>
    <row r="172" spans="4:19" ht="20" customHeight="1" x14ac:dyDescent="0.35">
      <c r="D172" s="35"/>
      <c r="E172" s="10"/>
      <c r="F172" s="27"/>
      <c r="G172" s="27"/>
      <c r="H172" s="27"/>
      <c r="I172" s="27"/>
      <c r="J172" s="27"/>
      <c r="L172" s="25" t="b">
        <f t="shared" si="66"/>
        <v>0</v>
      </c>
    </row>
    <row r="173" spans="4:19" ht="20" customHeight="1" x14ac:dyDescent="0.35">
      <c r="D173" s="35"/>
      <c r="E173" s="28" t="s">
        <v>10</v>
      </c>
      <c r="F173" s="27"/>
      <c r="G173" s="27"/>
      <c r="H173" s="27"/>
      <c r="I173" s="27"/>
      <c r="J173" s="27"/>
      <c r="K173" s="17"/>
      <c r="L173" s="25" t="b">
        <f t="shared" si="66"/>
        <v>0</v>
      </c>
      <c r="M173">
        <f>_xlfn.MAXIFS(F173:J173,F172:J172,"&lt;&gt;")</f>
        <v>0</v>
      </c>
      <c r="N173" s="17"/>
      <c r="P173">
        <f>_xlfn.MAXIFS(G173:J173,G173:J173,"&lt;&gt;",G172:J172,"&lt;&gt;")</f>
        <v>0</v>
      </c>
      <c r="Q173">
        <f>_xlfn.MAXIFS(H173:J173,H173:J173,"&lt;&gt;",H172:J172,"&lt;&gt;")</f>
        <v>0</v>
      </c>
      <c r="R173">
        <f>_xlfn.MAXIFS(I173:J173,I173:J173,"&lt;&gt;",I172:J172,"&lt;&gt;")</f>
        <v>0</v>
      </c>
      <c r="S173">
        <f>_xlfn.MAXIFS(J173,J173,"&lt;&gt;",J172,"&lt;&gt;")</f>
        <v>0</v>
      </c>
    </row>
    <row r="174" spans="4:19" ht="20" customHeight="1" x14ac:dyDescent="0.35">
      <c r="D174" s="36"/>
      <c r="E174" s="12"/>
      <c r="F174" s="15" t="str">
        <f>IF($E173 = "Bereik", IF(F173 = P173, IF(ISBLANK(P173), 0, P173) &amp; " ptn", "" &amp; F173 &amp; " tot &gt; " &amp; IF(ISBLANK(P173), 0, P173) &amp; " ptn"), "")</f>
        <v/>
      </c>
      <c r="G174" s="15" t="str">
        <f>IF($E173 = "Bereik", IF(G173 = Q173, IF(ISBLANK(Q173), 0, Q173) &amp; " ptn", "" &amp; G173 &amp; " tot &gt; " &amp; IF(ISBLANK(Q173), 0, Q173) &amp; " ptn"), "")</f>
        <v/>
      </c>
      <c r="H174" s="15" t="str">
        <f t="shared" ref="H174" si="85">IF($E173 = "Bereik", IF(H173 = R173, IF(ISBLANK(R173), 0, R173) &amp; " ptn", "" &amp; H173 &amp; " tot &gt; " &amp; IF(ISBLANK(R173), 0, R173) &amp; " ptn"), "")</f>
        <v/>
      </c>
      <c r="I174" s="15" t="str">
        <f t="shared" ref="I174" si="86">IF($E173 = "Bereik", IF(I173 = S173, IF(ISBLANK(S173), 0, S173) &amp; " ptn", "" &amp; I173 &amp; " tot &gt; " &amp; IF(ISBLANK(S173), 0, S173) &amp; " ptn"), "")</f>
        <v/>
      </c>
      <c r="J174" s="16" t="str">
        <f t="shared" ref="J174" si="87">IF($E173 = "Bereik", IF(J173 = T173, IF(ISBLANK(T173), 0, T173) &amp; " ptn", "" &amp; J173 &amp; " tot &gt; " &amp; IF(ISBLANK(T173), 0, T173) &amp; " ptn"), "")</f>
        <v/>
      </c>
      <c r="L174" s="25" t="b">
        <f t="shared" si="66"/>
        <v>0</v>
      </c>
    </row>
    <row r="175" spans="4:19" ht="74" customHeight="1" x14ac:dyDescent="0.35">
      <c r="D175" s="28"/>
      <c r="E175" s="13" t="s">
        <v>9</v>
      </c>
      <c r="F175" s="30"/>
      <c r="G175" s="30"/>
      <c r="H175" s="30"/>
      <c r="I175" s="30"/>
      <c r="J175" s="30"/>
      <c r="L175" s="25" t="b">
        <f t="shared" si="66"/>
        <v>0</v>
      </c>
    </row>
    <row r="176" spans="4:19" x14ac:dyDescent="0.35">
      <c r="L176" s="25" t="b">
        <f t="shared" si="66"/>
        <v>0</v>
      </c>
    </row>
    <row r="177" spans="4:19" ht="18.5" x14ac:dyDescent="0.45">
      <c r="D177" s="34" t="s">
        <v>7</v>
      </c>
      <c r="E177" s="9"/>
      <c r="F177" s="14"/>
      <c r="G177" s="37"/>
      <c r="H177" s="37"/>
      <c r="I177" s="37"/>
      <c r="J177" s="38"/>
      <c r="L177" s="25" t="b">
        <f t="shared" si="66"/>
        <v>0</v>
      </c>
    </row>
    <row r="178" spans="4:19" ht="20" customHeight="1" x14ac:dyDescent="0.35">
      <c r="D178" s="35"/>
      <c r="E178" s="10"/>
      <c r="F178" s="27"/>
      <c r="G178" s="27"/>
      <c r="H178" s="27"/>
      <c r="I178" s="27"/>
      <c r="J178" s="27"/>
      <c r="L178" s="25" t="b">
        <f t="shared" si="66"/>
        <v>0</v>
      </c>
    </row>
    <row r="179" spans="4:19" ht="20" customHeight="1" x14ac:dyDescent="0.35">
      <c r="D179" s="35"/>
      <c r="E179" s="28" t="s">
        <v>10</v>
      </c>
      <c r="F179" s="27"/>
      <c r="G179" s="27"/>
      <c r="H179" s="27"/>
      <c r="I179" s="27"/>
      <c r="J179" s="27"/>
      <c r="K179" s="17"/>
      <c r="L179" s="25" t="b">
        <f t="shared" si="66"/>
        <v>0</v>
      </c>
      <c r="M179">
        <f>_xlfn.MAXIFS(F179:J179,F178:J178,"&lt;&gt;")</f>
        <v>0</v>
      </c>
      <c r="N179" s="17"/>
      <c r="P179">
        <f>_xlfn.MAXIFS(G179:J179,G179:J179,"&lt;&gt;",G178:J178,"&lt;&gt;")</f>
        <v>0</v>
      </c>
      <c r="Q179">
        <f>_xlfn.MAXIFS(H179:J179,H179:J179,"&lt;&gt;",H178:J178,"&lt;&gt;")</f>
        <v>0</v>
      </c>
      <c r="R179">
        <f>_xlfn.MAXIFS(I179:J179,I179:J179,"&lt;&gt;",I178:J178,"&lt;&gt;")</f>
        <v>0</v>
      </c>
      <c r="S179">
        <f>_xlfn.MAXIFS(J179,J179,"&lt;&gt;",J178,"&lt;&gt;")</f>
        <v>0</v>
      </c>
    </row>
    <row r="180" spans="4:19" ht="20" customHeight="1" x14ac:dyDescent="0.35">
      <c r="D180" s="36"/>
      <c r="E180" s="12"/>
      <c r="F180" s="15" t="str">
        <f>IF($E179 = "Bereik", IF(F179 = P179, IF(ISBLANK(P179), 0, P179) &amp; " ptn", "" &amp; F179 &amp; " tot &gt; " &amp; IF(ISBLANK(P179), 0, P179) &amp; " ptn"), "")</f>
        <v/>
      </c>
      <c r="G180" s="15" t="str">
        <f>IF($E179 = "Bereik", IF(G179 = Q179, IF(ISBLANK(Q179), 0, Q179) &amp; " ptn", "" &amp; G179 &amp; " tot &gt; " &amp; IF(ISBLANK(Q179), 0, Q179) &amp; " ptn"), "")</f>
        <v/>
      </c>
      <c r="H180" s="15" t="str">
        <f t="shared" ref="H180" si="88">IF($E179 = "Bereik", IF(H179 = R179, IF(ISBLANK(R179), 0, R179) &amp; " ptn", "" &amp; H179 &amp; " tot &gt; " &amp; IF(ISBLANK(R179), 0, R179) &amp; " ptn"), "")</f>
        <v/>
      </c>
      <c r="I180" s="15" t="str">
        <f t="shared" ref="I180" si="89">IF($E179 = "Bereik", IF(I179 = S179, IF(ISBLANK(S179), 0, S179) &amp; " ptn", "" &amp; I179 &amp; " tot &gt; " &amp; IF(ISBLANK(S179), 0, S179) &amp; " ptn"), "")</f>
        <v/>
      </c>
      <c r="J180" s="16" t="str">
        <f t="shared" ref="J180" si="90">IF($E179 = "Bereik", IF(J179 = T179, IF(ISBLANK(T179), 0, T179) &amp; " ptn", "" &amp; J179 &amp; " tot &gt; " &amp; IF(ISBLANK(T179), 0, T179) &amp; " ptn"), "")</f>
        <v/>
      </c>
      <c r="L180" s="25" t="b">
        <f t="shared" si="66"/>
        <v>0</v>
      </c>
    </row>
    <row r="181" spans="4:19" ht="74" customHeight="1" x14ac:dyDescent="0.35">
      <c r="D181" s="28"/>
      <c r="E181" s="13" t="s">
        <v>9</v>
      </c>
      <c r="F181" s="30"/>
      <c r="G181" s="30"/>
      <c r="H181" s="30"/>
      <c r="I181" s="30"/>
      <c r="J181" s="30"/>
      <c r="L181" s="25" t="b">
        <f t="shared" si="66"/>
        <v>0</v>
      </c>
    </row>
    <row r="182" spans="4:19" x14ac:dyDescent="0.35">
      <c r="L182" s="25" t="b">
        <f t="shared" si="66"/>
        <v>0</v>
      </c>
    </row>
    <row r="183" spans="4:19" ht="18.5" x14ac:dyDescent="0.45">
      <c r="D183" s="34" t="s">
        <v>7</v>
      </c>
      <c r="E183" s="9"/>
      <c r="F183" s="14"/>
      <c r="G183" s="37"/>
      <c r="H183" s="37"/>
      <c r="I183" s="37"/>
      <c r="J183" s="38"/>
      <c r="L183" s="25" t="b">
        <f t="shared" si="66"/>
        <v>0</v>
      </c>
    </row>
    <row r="184" spans="4:19" ht="20" customHeight="1" x14ac:dyDescent="0.35">
      <c r="D184" s="35"/>
      <c r="E184" s="10"/>
      <c r="F184" s="27"/>
      <c r="G184" s="27"/>
      <c r="H184" s="27"/>
      <c r="I184" s="27"/>
      <c r="J184" s="27"/>
      <c r="L184" s="25" t="b">
        <f t="shared" si="66"/>
        <v>0</v>
      </c>
    </row>
    <row r="185" spans="4:19" ht="20" customHeight="1" x14ac:dyDescent="0.35">
      <c r="D185" s="35"/>
      <c r="E185" s="28" t="s">
        <v>10</v>
      </c>
      <c r="F185" s="27"/>
      <c r="G185" s="27"/>
      <c r="H185" s="27"/>
      <c r="I185" s="27"/>
      <c r="J185" s="27"/>
      <c r="K185" s="17"/>
      <c r="L185" s="25" t="b">
        <f t="shared" si="66"/>
        <v>0</v>
      </c>
      <c r="M185">
        <f>_xlfn.MAXIFS(F185:J185,F184:J184,"&lt;&gt;")</f>
        <v>0</v>
      </c>
      <c r="N185" s="17"/>
      <c r="P185">
        <f>_xlfn.MAXIFS(G185:J185,G185:J185,"&lt;&gt;",G184:J184,"&lt;&gt;")</f>
        <v>0</v>
      </c>
      <c r="Q185">
        <f>_xlfn.MAXIFS(H185:J185,H185:J185,"&lt;&gt;",H184:J184,"&lt;&gt;")</f>
        <v>0</v>
      </c>
      <c r="R185">
        <f>_xlfn.MAXIFS(I185:J185,I185:J185,"&lt;&gt;",I184:J184,"&lt;&gt;")</f>
        <v>0</v>
      </c>
      <c r="S185">
        <f>_xlfn.MAXIFS(J185,J185,"&lt;&gt;",J184,"&lt;&gt;")</f>
        <v>0</v>
      </c>
    </row>
    <row r="186" spans="4:19" ht="20" customHeight="1" x14ac:dyDescent="0.35">
      <c r="D186" s="36"/>
      <c r="E186" s="12"/>
      <c r="F186" s="15" t="str">
        <f>IF($E185 = "Bereik", IF(F185 = P185, IF(ISBLANK(P185), 0, P185) &amp; " ptn", "" &amp; F185 &amp; " tot &gt; " &amp; IF(ISBLANK(P185), 0, P185) &amp; " ptn"), "")</f>
        <v/>
      </c>
      <c r="G186" s="15" t="str">
        <f>IF($E185 = "Bereik", IF(G185 = Q185, IF(ISBLANK(Q185), 0, Q185) &amp; " ptn", "" &amp; G185 &amp; " tot &gt; " &amp; IF(ISBLANK(Q185), 0, Q185) &amp; " ptn"), "")</f>
        <v/>
      </c>
      <c r="H186" s="15" t="str">
        <f t="shared" ref="H186" si="91">IF($E185 = "Bereik", IF(H185 = R185, IF(ISBLANK(R185), 0, R185) &amp; " ptn", "" &amp; H185 &amp; " tot &gt; " &amp; IF(ISBLANK(R185), 0, R185) &amp; " ptn"), "")</f>
        <v/>
      </c>
      <c r="I186" s="15" t="str">
        <f t="shared" ref="I186" si="92">IF($E185 = "Bereik", IF(I185 = S185, IF(ISBLANK(S185), 0, S185) &amp; " ptn", "" &amp; I185 &amp; " tot &gt; " &amp; IF(ISBLANK(S185), 0, S185) &amp; " ptn"), "")</f>
        <v/>
      </c>
      <c r="J186" s="16" t="str">
        <f t="shared" ref="J186" si="93">IF($E185 = "Bereik", IF(J185 = T185, IF(ISBLANK(T185), 0, T185) &amp; " ptn", "" &amp; J185 &amp; " tot &gt; " &amp; IF(ISBLANK(T185), 0, T185) &amp; " ptn"), "")</f>
        <v/>
      </c>
      <c r="L186" s="25" t="b">
        <f t="shared" si="66"/>
        <v>0</v>
      </c>
    </row>
    <row r="187" spans="4:19" ht="74" customHeight="1" x14ac:dyDescent="0.35">
      <c r="D187" s="28"/>
      <c r="E187" s="13" t="s">
        <v>9</v>
      </c>
      <c r="F187" s="30"/>
      <c r="G187" s="30"/>
      <c r="H187" s="30"/>
      <c r="I187" s="30"/>
      <c r="J187" s="30"/>
      <c r="L187" s="25" t="b">
        <f t="shared" si="66"/>
        <v>0</v>
      </c>
    </row>
  </sheetData>
  <sheetProtection algorithmName="SHA-512" hashValue="zaeSWb2xA6rsYjLudLsPplpuYn6rwWonS3mLa8g27MV2VhkbsnMpvPPQlVEO7pQt6VD818HmGVGBBWjTS8qFFw==" saltValue="sMqs/RFCqUi88DGIA5IMjQ==" spinCount="100000" sheet="1" objects="1" scenarios="1" formatColumns="0" formatRows="0"/>
  <mergeCells count="61">
    <mergeCell ref="D171:D174"/>
    <mergeCell ref="G171:J171"/>
    <mergeCell ref="D177:D180"/>
    <mergeCell ref="G177:J177"/>
    <mergeCell ref="D183:D186"/>
    <mergeCell ref="G183:J183"/>
    <mergeCell ref="D153:D156"/>
    <mergeCell ref="G153:J153"/>
    <mergeCell ref="D159:D162"/>
    <mergeCell ref="G159:J159"/>
    <mergeCell ref="D165:D168"/>
    <mergeCell ref="G165:J165"/>
    <mergeCell ref="D135:D138"/>
    <mergeCell ref="G135:J135"/>
    <mergeCell ref="D141:D144"/>
    <mergeCell ref="G141:J141"/>
    <mergeCell ref="D147:D150"/>
    <mergeCell ref="G147:J147"/>
    <mergeCell ref="D117:D120"/>
    <mergeCell ref="G117:J117"/>
    <mergeCell ref="D123:D126"/>
    <mergeCell ref="G123:J123"/>
    <mergeCell ref="D129:D132"/>
    <mergeCell ref="G129:J129"/>
    <mergeCell ref="D99:D102"/>
    <mergeCell ref="G99:J99"/>
    <mergeCell ref="D105:D108"/>
    <mergeCell ref="G105:J105"/>
    <mergeCell ref="D111:D114"/>
    <mergeCell ref="G111:J111"/>
    <mergeCell ref="D81:D84"/>
    <mergeCell ref="G81:J81"/>
    <mergeCell ref="D87:D90"/>
    <mergeCell ref="G87:J87"/>
    <mergeCell ref="D93:D96"/>
    <mergeCell ref="G93:J93"/>
    <mergeCell ref="D63:D66"/>
    <mergeCell ref="G63:J63"/>
    <mergeCell ref="D69:D72"/>
    <mergeCell ref="G69:J69"/>
    <mergeCell ref="D75:D78"/>
    <mergeCell ref="G75:J75"/>
    <mergeCell ref="D45:D48"/>
    <mergeCell ref="G45:J45"/>
    <mergeCell ref="D51:D54"/>
    <mergeCell ref="G51:J51"/>
    <mergeCell ref="D57:D60"/>
    <mergeCell ref="G57:J57"/>
    <mergeCell ref="D27:D30"/>
    <mergeCell ref="G27:J27"/>
    <mergeCell ref="D33:D36"/>
    <mergeCell ref="G33:J33"/>
    <mergeCell ref="D39:D42"/>
    <mergeCell ref="G39:J39"/>
    <mergeCell ref="C4:E4"/>
    <mergeCell ref="D9:D12"/>
    <mergeCell ref="D15:D18"/>
    <mergeCell ref="G15:J15"/>
    <mergeCell ref="D21:D24"/>
    <mergeCell ref="G21:J21"/>
    <mergeCell ref="G9:J9"/>
  </mergeCells>
  <conditionalFormatting sqref="J12">
    <cfRule type="expression" dxfId="1268" priority="3521">
      <formula>ISBLANK(J10)</formula>
    </cfRule>
    <cfRule type="expression" dxfId="1267" priority="3522">
      <formula>ISBLANK($D13)</formula>
    </cfRule>
  </conditionalFormatting>
  <conditionalFormatting sqref="F11">
    <cfRule type="expression" dxfId="1266" priority="5976">
      <formula>AND(NOT(ISBLANK(F10)),ISBLANK(F11))</formula>
    </cfRule>
    <cfRule type="expression" dxfId="1265" priority="5977">
      <formula>ISBLANK(F10)</formula>
    </cfRule>
    <cfRule type="expression" dxfId="1264" priority="5986">
      <formula>ISBLANK($D13)</formula>
    </cfRule>
    <cfRule type="expression" dxfId="1263" priority="5988">
      <formula>AND(ISNUMBER(E11),E11&lt;F11)</formula>
    </cfRule>
  </conditionalFormatting>
  <conditionalFormatting sqref="F10">
    <cfRule type="expression" dxfId="1262" priority="5987">
      <formula>ISBLANK($D13)</formula>
    </cfRule>
  </conditionalFormatting>
  <conditionalFormatting sqref="F12:I12">
    <cfRule type="expression" dxfId="1261" priority="5978">
      <formula>ISBLANK(F10)</formula>
    </cfRule>
    <cfRule type="expression" dxfId="1260" priority="5985">
      <formula>ISBLANK($D13)</formula>
    </cfRule>
  </conditionalFormatting>
  <conditionalFormatting sqref="G10">
    <cfRule type="expression" dxfId="1259" priority="5982">
      <formula>ISBLANK($D13)</formula>
    </cfRule>
  </conditionalFormatting>
  <conditionalFormatting sqref="H10">
    <cfRule type="expression" dxfId="1258" priority="5981">
      <formula>ISBLANK($D13)</formula>
    </cfRule>
  </conditionalFormatting>
  <conditionalFormatting sqref="I10">
    <cfRule type="expression" dxfId="1257" priority="5980">
      <formula>ISBLANK($D13)</formula>
    </cfRule>
  </conditionalFormatting>
  <conditionalFormatting sqref="J10">
    <cfRule type="expression" dxfId="1256" priority="5979">
      <formula>ISBLANK($D13)</formula>
    </cfRule>
  </conditionalFormatting>
  <conditionalFormatting sqref="G11">
    <cfRule type="expression" dxfId="1255" priority="5971">
      <formula>AND(NOT(ISBLANK(G10)),ISBLANK(G11))</formula>
    </cfRule>
    <cfRule type="expression" dxfId="1254" priority="5973">
      <formula>ISBLANK($D13)</formula>
    </cfRule>
    <cfRule type="expression" dxfId="1253" priority="5974">
      <formula>AND(ISNUMBER(F11),F11&lt;G11)</formula>
    </cfRule>
  </conditionalFormatting>
  <conditionalFormatting sqref="I11">
    <cfRule type="expression" dxfId="1252" priority="5957">
      <formula>AND(NOT(ISBLANK(I10)),ISBLANK(I11))</formula>
    </cfRule>
    <cfRule type="expression" dxfId="1251" priority="5959">
      <formula>ISBLANK($D13)</formula>
    </cfRule>
    <cfRule type="expression" dxfId="1250" priority="5960">
      <formula>AND(ISNUMBER(H11),H11&lt;I11)</formula>
    </cfRule>
  </conditionalFormatting>
  <conditionalFormatting sqref="F13">
    <cfRule type="expression" dxfId="1249" priority="5944">
      <formula>AND(NOT(ISBLANK(F10)),ISBLANK(F13))</formula>
    </cfRule>
    <cfRule type="expression" dxfId="1248" priority="5946">
      <formula>ISBLANK($D13)</formula>
    </cfRule>
  </conditionalFormatting>
  <conditionalFormatting sqref="F13">
    <cfRule type="expression" dxfId="1247" priority="5945">
      <formula>ISBLANK(F10)</formula>
    </cfRule>
  </conditionalFormatting>
  <conditionalFormatting sqref="G13">
    <cfRule type="expression" dxfId="1246" priority="5941">
      <formula>AND(NOT(ISBLANK(G10)),ISBLANK(G13))</formula>
    </cfRule>
    <cfRule type="expression" dxfId="1245" priority="5943">
      <formula>ISBLANK($D13)</formula>
    </cfRule>
  </conditionalFormatting>
  <conditionalFormatting sqref="G13">
    <cfRule type="expression" dxfId="1244" priority="5942">
      <formula>ISBLANK(G10)</formula>
    </cfRule>
  </conditionalFormatting>
  <conditionalFormatting sqref="I13">
    <cfRule type="expression" dxfId="1243" priority="5938">
      <formula>AND(NOT(ISBLANK(I10)),ISBLANK(I13))</formula>
    </cfRule>
    <cfRule type="expression" dxfId="1242" priority="5940">
      <formula>ISBLANK($D13)</formula>
    </cfRule>
  </conditionalFormatting>
  <conditionalFormatting sqref="I13">
    <cfRule type="expression" dxfId="1241" priority="5939">
      <formula>ISBLANK(I10)</formula>
    </cfRule>
  </conditionalFormatting>
  <conditionalFormatting sqref="C4:E4">
    <cfRule type="containsBlanks" dxfId="1240" priority="5937">
      <formula>LEN(TRIM(C4))=0</formula>
    </cfRule>
  </conditionalFormatting>
  <conditionalFormatting sqref="H13">
    <cfRule type="expression" dxfId="1239" priority="3535">
      <formula>ISBLANK(H10)</formula>
    </cfRule>
  </conditionalFormatting>
  <conditionalFormatting sqref="H13">
    <cfRule type="expression" dxfId="1238" priority="3534">
      <formula>AND(NOT(ISBLANK(H10)),ISBLANK(H13))</formula>
    </cfRule>
    <cfRule type="expression" dxfId="1237" priority="3536">
      <formula>ISBLANK($D13)</formula>
    </cfRule>
  </conditionalFormatting>
  <conditionalFormatting sqref="J13">
    <cfRule type="expression" dxfId="1236" priority="3531">
      <formula>AND(NOT(ISBLANK(J10)),ISBLANK(J13))</formula>
    </cfRule>
    <cfRule type="expression" dxfId="1235" priority="3533">
      <formula>ISBLANK($D13)</formula>
    </cfRule>
  </conditionalFormatting>
  <conditionalFormatting sqref="J13">
    <cfRule type="expression" dxfId="1234" priority="3532">
      <formula>ISBLANK(J10)</formula>
    </cfRule>
  </conditionalFormatting>
  <conditionalFormatting sqref="H11">
    <cfRule type="expression" dxfId="1233" priority="3527">
      <formula>AND(NOT(ISBLANK(H10)),ISBLANK(H11))</formula>
    </cfRule>
    <cfRule type="expression" dxfId="1232" priority="3528">
      <formula>ISBLANK($D13)</formula>
    </cfRule>
    <cfRule type="expression" dxfId="1231" priority="3529">
      <formula>AND(ISNUMBER(G11),G11&lt;H11)</formula>
    </cfRule>
  </conditionalFormatting>
  <conditionalFormatting sqref="J11">
    <cfRule type="expression" dxfId="1230" priority="3523">
      <formula>AND(NOT(ISBLANK(J10)),ISBLANK(J11))</formula>
    </cfRule>
    <cfRule type="expression" dxfId="1229" priority="3524">
      <formula>ISBLANK($D13)</formula>
    </cfRule>
    <cfRule type="expression" dxfId="1228" priority="3525">
      <formula>AND(ISNUMBER(I11),I11&lt;J11)</formula>
    </cfRule>
  </conditionalFormatting>
  <conditionalFormatting sqref="J18">
    <cfRule type="expression" dxfId="1227" priority="1321">
      <formula>ISBLANK(J16)</formula>
    </cfRule>
    <cfRule type="expression" dxfId="1226" priority="1322">
      <formula>ISBLANK($D19)</formula>
    </cfRule>
  </conditionalFormatting>
  <conditionalFormatting sqref="F17">
    <cfRule type="expression" dxfId="1225" priority="1350">
      <formula>AND(NOT(ISBLANK(F16)),ISBLANK(F17))</formula>
    </cfRule>
    <cfRule type="expression" dxfId="1224" priority="1351">
      <formula>ISBLANK(F16)</formula>
    </cfRule>
    <cfRule type="expression" dxfId="1223" priority="1358">
      <formula>ISBLANK($D19)</formula>
    </cfRule>
    <cfRule type="expression" dxfId="1222" priority="1360">
      <formula>AND(ISNUMBER(E17),E17&lt;F17)</formula>
    </cfRule>
  </conditionalFormatting>
  <conditionalFormatting sqref="F16">
    <cfRule type="expression" dxfId="1221" priority="1359">
      <formula>ISBLANK($D19)</formula>
    </cfRule>
  </conditionalFormatting>
  <conditionalFormatting sqref="F18:I18">
    <cfRule type="expression" dxfId="1220" priority="1352">
      <formula>ISBLANK(F16)</formula>
    </cfRule>
    <cfRule type="expression" dxfId="1219" priority="1357">
      <formula>ISBLANK($D19)</formula>
    </cfRule>
  </conditionalFormatting>
  <conditionalFormatting sqref="G16">
    <cfRule type="expression" dxfId="1218" priority="1356">
      <formula>ISBLANK($D19)</formula>
    </cfRule>
  </conditionalFormatting>
  <conditionalFormatting sqref="H16">
    <cfRule type="expression" dxfId="1217" priority="1355">
      <formula>ISBLANK($D19)</formula>
    </cfRule>
  </conditionalFormatting>
  <conditionalFormatting sqref="I16">
    <cfRule type="expression" dxfId="1216" priority="1354">
      <formula>ISBLANK($D19)</formula>
    </cfRule>
  </conditionalFormatting>
  <conditionalFormatting sqref="J16">
    <cfRule type="expression" dxfId="1215" priority="1353">
      <formula>ISBLANK($D19)</formula>
    </cfRule>
  </conditionalFormatting>
  <conditionalFormatting sqref="G17">
    <cfRule type="expression" dxfId="1214" priority="1347">
      <formula>AND(NOT(ISBLANK(G16)),ISBLANK(G17))</formula>
    </cfRule>
    <cfRule type="expression" dxfId="1213" priority="1348">
      <formula>ISBLANK(G16)</formula>
    </cfRule>
    <cfRule type="expression" dxfId="1212" priority="1348">
      <formula>ISBLANK($D19)</formula>
    </cfRule>
    <cfRule type="expression" dxfId="1211" priority="1349">
      <formula>AND(ISNUMBER(F17),F17&lt;G17)</formula>
    </cfRule>
  </conditionalFormatting>
  <conditionalFormatting sqref="I17">
    <cfRule type="expression" dxfId="1210" priority="1344">
      <formula>ISBLANK(I16)</formula>
    </cfRule>
    <cfRule type="expression" dxfId="1209" priority="1344">
      <formula>AND(NOT(ISBLANK(I16)),ISBLANK(I17))</formula>
    </cfRule>
    <cfRule type="expression" dxfId="1208" priority="1345">
      <formula>ISBLANK($D19)</formula>
    </cfRule>
    <cfRule type="expression" dxfId="1207" priority="1346">
      <formula>AND(ISNUMBER(H17),H17&lt;I17)</formula>
    </cfRule>
  </conditionalFormatting>
  <conditionalFormatting sqref="F19">
    <cfRule type="expression" dxfId="1206" priority="1341">
      <formula>AND(NOT(ISBLANK(F16)),ISBLANK(F19))</formula>
    </cfRule>
    <cfRule type="expression" dxfId="1205" priority="1343">
      <formula>ISBLANK($D19)</formula>
    </cfRule>
  </conditionalFormatting>
  <conditionalFormatting sqref="F19">
    <cfRule type="expression" dxfId="1204" priority="1342">
      <formula>ISBLANK(F16)</formula>
    </cfRule>
  </conditionalFormatting>
  <conditionalFormatting sqref="G19">
    <cfRule type="expression" dxfId="1203" priority="1338">
      <formula>AND(NOT(ISBLANK(G16)),ISBLANK(G19))</formula>
    </cfRule>
    <cfRule type="expression" dxfId="1202" priority="1340">
      <formula>ISBLANK($D19)</formula>
    </cfRule>
  </conditionalFormatting>
  <conditionalFormatting sqref="G19">
    <cfRule type="expression" dxfId="1201" priority="1339">
      <formula>ISBLANK(G16)</formula>
    </cfRule>
  </conditionalFormatting>
  <conditionalFormatting sqref="I19">
    <cfRule type="expression" dxfId="1200" priority="1335">
      <formula>AND(NOT(ISBLANK(I16)),ISBLANK(I19))</formula>
    </cfRule>
    <cfRule type="expression" dxfId="1199" priority="1337">
      <formula>ISBLANK($D19)</formula>
    </cfRule>
  </conditionalFormatting>
  <conditionalFormatting sqref="I19">
    <cfRule type="expression" dxfId="1198" priority="1336">
      <formula>ISBLANK(I16)</formula>
    </cfRule>
  </conditionalFormatting>
  <conditionalFormatting sqref="H19">
    <cfRule type="expression" dxfId="1197" priority="1333">
      <formula>ISBLANK(H16)</formula>
    </cfRule>
  </conditionalFormatting>
  <conditionalFormatting sqref="H19">
    <cfRule type="expression" dxfId="1196" priority="1332">
      <formula>AND(NOT(ISBLANK(H16)),ISBLANK(H19))</formula>
    </cfRule>
    <cfRule type="expression" dxfId="1195" priority="1334">
      <formula>ISBLANK($D19)</formula>
    </cfRule>
  </conditionalFormatting>
  <conditionalFormatting sqref="J19">
    <cfRule type="expression" dxfId="1194" priority="1329">
      <formula>AND(NOT(ISBLANK(J16)),ISBLANK(J19))</formula>
    </cfRule>
    <cfRule type="expression" dxfId="1193" priority="1331">
      <formula>ISBLANK($D19)</formula>
    </cfRule>
  </conditionalFormatting>
  <conditionalFormatting sqref="J19">
    <cfRule type="expression" dxfId="1192" priority="1330">
      <formula>ISBLANK(J16)</formula>
    </cfRule>
  </conditionalFormatting>
  <conditionalFormatting sqref="H17">
    <cfRule type="expression" dxfId="1191" priority="1325">
      <formula>ISBLANK(H16)</formula>
    </cfRule>
    <cfRule type="expression" dxfId="1190" priority="1326">
      <formula>AND(NOT(ISBLANK(H16)),ISBLANK(H17))</formula>
    </cfRule>
    <cfRule type="expression" dxfId="1189" priority="1327">
      <formula>ISBLANK($D19)</formula>
    </cfRule>
    <cfRule type="expression" dxfId="1188" priority="1328">
      <formula>AND(ISNUMBER(G17),G17&lt;H17)</formula>
    </cfRule>
  </conditionalFormatting>
  <conditionalFormatting sqref="J17">
    <cfRule type="expression" dxfId="1187" priority="5989">
      <formula>ISBLANK(J16)</formula>
    </cfRule>
    <cfRule type="expression" dxfId="1186" priority="1323">
      <formula>AND(NOT(ISBLANK(J16)),ISBLANK(J17))</formula>
    </cfRule>
    <cfRule type="expression" dxfId="1185" priority="1324">
      <formula>ISBLANK($D19)</formula>
    </cfRule>
    <cfRule type="expression" dxfId="1184" priority="5989">
      <formula>AND(ISNUMBER(I17),I17&lt;J17)</formula>
    </cfRule>
  </conditionalFormatting>
  <conditionalFormatting sqref="J24">
    <cfRule type="expression" dxfId="1183" priority="1277">
      <formula>ISBLANK(J22)</formula>
    </cfRule>
    <cfRule type="expression" dxfId="1182" priority="1278">
      <formula>ISBLANK($D25)</formula>
    </cfRule>
  </conditionalFormatting>
  <conditionalFormatting sqref="F23">
    <cfRule type="expression" dxfId="1181" priority="1306">
      <formula>AND(NOT(ISBLANK(F22)),ISBLANK(F23))</formula>
    </cfRule>
    <cfRule type="expression" dxfId="1180" priority="1307">
      <formula>ISBLANK(F22)</formula>
    </cfRule>
    <cfRule type="expression" dxfId="1179" priority="1314">
      <formula>ISBLANK($D25)</formula>
    </cfRule>
    <cfRule type="expression" dxfId="1178" priority="1316">
      <formula>AND(ISNUMBER(E23),E23&lt;F23)</formula>
    </cfRule>
  </conditionalFormatting>
  <conditionalFormatting sqref="F22">
    <cfRule type="expression" dxfId="1177" priority="1315">
      <formula>ISBLANK($D25)</formula>
    </cfRule>
  </conditionalFormatting>
  <conditionalFormatting sqref="F24:I24">
    <cfRule type="expression" dxfId="1176" priority="1308">
      <formula>ISBLANK(F22)</formula>
    </cfRule>
    <cfRule type="expression" dxfId="1175" priority="1313">
      <formula>ISBLANK($D25)</formula>
    </cfRule>
  </conditionalFormatting>
  <conditionalFormatting sqref="G22">
    <cfRule type="expression" dxfId="1174" priority="1312">
      <formula>ISBLANK($D25)</formula>
    </cfRule>
  </conditionalFormatting>
  <conditionalFormatting sqref="H22">
    <cfRule type="expression" dxfId="1173" priority="1311">
      <formula>ISBLANK($D25)</formula>
    </cfRule>
  </conditionalFormatting>
  <conditionalFormatting sqref="I22">
    <cfRule type="expression" dxfId="1172" priority="1310">
      <formula>ISBLANK($D25)</formula>
    </cfRule>
  </conditionalFormatting>
  <conditionalFormatting sqref="J22">
    <cfRule type="expression" dxfId="1171" priority="1309">
      <formula>ISBLANK($D25)</formula>
    </cfRule>
  </conditionalFormatting>
  <conditionalFormatting sqref="G23">
    <cfRule type="expression" dxfId="1170" priority="1303">
      <formula>AND(NOT(ISBLANK(G22)),ISBLANK(G23))</formula>
    </cfRule>
    <cfRule type="expression" dxfId="1169" priority="1304">
      <formula>ISBLANK(G22)</formula>
    </cfRule>
    <cfRule type="expression" dxfId="1168" priority="1305">
      <formula>AND(ISNUMBER(F23),F23&lt;G23)</formula>
    </cfRule>
  </conditionalFormatting>
  <conditionalFormatting sqref="I23">
    <cfRule type="expression" dxfId="1167" priority="1300">
      <formula>ISBLANK(I22)</formula>
    </cfRule>
    <cfRule type="expression" dxfId="1166" priority="1301">
      <formula>ISBLANK($D25)</formula>
    </cfRule>
    <cfRule type="expression" dxfId="1165" priority="1302">
      <formula>AND(ISNUMBER(H23),H23&lt;I23)</formula>
    </cfRule>
  </conditionalFormatting>
  <conditionalFormatting sqref="F25">
    <cfRule type="expression" dxfId="1164" priority="1297">
      <formula>AND(NOT(ISBLANK(F22)),ISBLANK(F25))</formula>
    </cfRule>
    <cfRule type="expression" dxfId="1163" priority="1299">
      <formula>ISBLANK($D25)</formula>
    </cfRule>
  </conditionalFormatting>
  <conditionalFormatting sqref="F25">
    <cfRule type="expression" dxfId="1162" priority="1298">
      <formula>ISBLANK(F22)</formula>
    </cfRule>
  </conditionalFormatting>
  <conditionalFormatting sqref="G25">
    <cfRule type="expression" dxfId="1161" priority="1294">
      <formula>AND(NOT(ISBLANK(G22)),ISBLANK(G25))</formula>
    </cfRule>
    <cfRule type="expression" dxfId="1160" priority="1296">
      <formula>ISBLANK($D25)</formula>
    </cfRule>
  </conditionalFormatting>
  <conditionalFormatting sqref="G25">
    <cfRule type="expression" dxfId="1159" priority="1295">
      <formula>ISBLANK(G22)</formula>
    </cfRule>
  </conditionalFormatting>
  <conditionalFormatting sqref="I25">
    <cfRule type="expression" dxfId="1158" priority="1291">
      <formula>AND(NOT(ISBLANK(I22)),ISBLANK(I25))</formula>
    </cfRule>
    <cfRule type="expression" dxfId="1157" priority="1293">
      <formula>ISBLANK($D25)</formula>
    </cfRule>
  </conditionalFormatting>
  <conditionalFormatting sqref="I25">
    <cfRule type="expression" dxfId="1156" priority="1292">
      <formula>ISBLANK(I22)</formula>
    </cfRule>
  </conditionalFormatting>
  <conditionalFormatting sqref="H25">
    <cfRule type="expression" dxfId="1155" priority="1289">
      <formula>ISBLANK(H22)</formula>
    </cfRule>
  </conditionalFormatting>
  <conditionalFormatting sqref="H25">
    <cfRule type="expression" dxfId="1154" priority="1288">
      <formula>AND(NOT(ISBLANK(H22)),ISBLANK(H25))</formula>
    </cfRule>
    <cfRule type="expression" dxfId="1153" priority="1290">
      <formula>ISBLANK($D25)</formula>
    </cfRule>
  </conditionalFormatting>
  <conditionalFormatting sqref="J25">
    <cfRule type="expression" dxfId="1152" priority="1285">
      <formula>AND(NOT(ISBLANK(J22)),ISBLANK(J25))</formula>
    </cfRule>
    <cfRule type="expression" dxfId="1151" priority="1287">
      <formula>ISBLANK($D25)</formula>
    </cfRule>
  </conditionalFormatting>
  <conditionalFormatting sqref="J25">
    <cfRule type="expression" dxfId="1150" priority="1286">
      <formula>ISBLANK(J22)</formula>
    </cfRule>
  </conditionalFormatting>
  <conditionalFormatting sqref="H23">
    <cfRule type="expression" dxfId="1149" priority="1281">
      <formula>ISBLANK(H22)</formula>
    </cfRule>
    <cfRule type="expression" dxfId="1148" priority="1282">
      <formula>AND(NOT(ISBLANK(H22)),ISBLANK(H23))</formula>
    </cfRule>
    <cfRule type="expression" dxfId="1147" priority="1283">
      <formula>ISBLANK($D25)</formula>
    </cfRule>
    <cfRule type="expression" dxfId="1146" priority="1284">
      <formula>AND(ISNUMBER(G23),G23&lt;H23)</formula>
    </cfRule>
  </conditionalFormatting>
  <conditionalFormatting sqref="J23">
    <cfRule type="expression" dxfId="1145" priority="1279">
      <formula>AND(NOT(ISBLANK(J22)),ISBLANK(J23))</formula>
    </cfRule>
    <cfRule type="expression" dxfId="1144" priority="1280">
      <formula>ISBLANK($D25)</formula>
    </cfRule>
  </conditionalFormatting>
  <conditionalFormatting sqref="J30">
    <cfRule type="expression" dxfId="1143" priority="1233">
      <formula>ISBLANK(J28)</formula>
    </cfRule>
    <cfRule type="expression" dxfId="1142" priority="1234">
      <formula>ISBLANK($D31)</formula>
    </cfRule>
  </conditionalFormatting>
  <conditionalFormatting sqref="F29">
    <cfRule type="expression" dxfId="1141" priority="1262">
      <formula>AND(NOT(ISBLANK(F28)),ISBLANK(F29))</formula>
    </cfRule>
    <cfRule type="expression" dxfId="1140" priority="1263">
      <formula>ISBLANK(F28)</formula>
    </cfRule>
    <cfRule type="expression" dxfId="1139" priority="1270">
      <formula>ISBLANK($D31)</formula>
    </cfRule>
    <cfRule type="expression" dxfId="1138" priority="1272">
      <formula>AND(ISNUMBER(E29),E29&lt;F29)</formula>
    </cfRule>
  </conditionalFormatting>
  <conditionalFormatting sqref="F28">
    <cfRule type="expression" dxfId="1137" priority="1271">
      <formula>ISBLANK($D31)</formula>
    </cfRule>
  </conditionalFormatting>
  <conditionalFormatting sqref="F30:I30">
    <cfRule type="expression" dxfId="1136" priority="1264">
      <formula>ISBLANK(F28)</formula>
    </cfRule>
    <cfRule type="expression" dxfId="1135" priority="1269">
      <formula>ISBLANK($D31)</formula>
    </cfRule>
  </conditionalFormatting>
  <conditionalFormatting sqref="G28">
    <cfRule type="expression" dxfId="1134" priority="1268">
      <formula>ISBLANK($D31)</formula>
    </cfRule>
  </conditionalFormatting>
  <conditionalFormatting sqref="H28">
    <cfRule type="expression" dxfId="1133" priority="1267">
      <formula>ISBLANK($D31)</formula>
    </cfRule>
  </conditionalFormatting>
  <conditionalFormatting sqref="I28">
    <cfRule type="expression" dxfId="1132" priority="1266">
      <formula>ISBLANK($D31)</formula>
    </cfRule>
  </conditionalFormatting>
  <conditionalFormatting sqref="J28">
    <cfRule type="expression" dxfId="1131" priority="1265">
      <formula>ISBLANK($D31)</formula>
    </cfRule>
  </conditionalFormatting>
  <conditionalFormatting sqref="G29">
    <cfRule type="expression" dxfId="1130" priority="1259">
      <formula>AND(NOT(ISBLANK(G28)),ISBLANK(G29))</formula>
    </cfRule>
    <cfRule type="expression" dxfId="1129" priority="1260">
      <formula>ISBLANK(G28)</formula>
    </cfRule>
    <cfRule type="expression" dxfId="1128" priority="1261">
      <formula>AND(ISNUMBER(F29),F29&lt;G29)</formula>
    </cfRule>
  </conditionalFormatting>
  <conditionalFormatting sqref="I29">
    <cfRule type="expression" dxfId="1127" priority="1256">
      <formula>ISBLANK(I28)</formula>
    </cfRule>
    <cfRule type="expression" dxfId="1126" priority="1257">
      <formula>ISBLANK($D31)</formula>
    </cfRule>
    <cfRule type="expression" dxfId="1125" priority="1258">
      <formula>AND(ISNUMBER(H29),H29&lt;I29)</formula>
    </cfRule>
  </conditionalFormatting>
  <conditionalFormatting sqref="F31">
    <cfRule type="expression" dxfId="1124" priority="1253">
      <formula>AND(NOT(ISBLANK(F28)),ISBLANK(F31))</formula>
    </cfRule>
    <cfRule type="expression" dxfId="1123" priority="1255">
      <formula>ISBLANK($D31)</formula>
    </cfRule>
  </conditionalFormatting>
  <conditionalFormatting sqref="F31">
    <cfRule type="expression" dxfId="1122" priority="1254">
      <formula>ISBLANK(F28)</formula>
    </cfRule>
  </conditionalFormatting>
  <conditionalFormatting sqref="G31">
    <cfRule type="expression" dxfId="1121" priority="1250">
      <formula>AND(NOT(ISBLANK(G28)),ISBLANK(G31))</formula>
    </cfRule>
    <cfRule type="expression" dxfId="1120" priority="1252">
      <formula>ISBLANK($D31)</formula>
    </cfRule>
  </conditionalFormatting>
  <conditionalFormatting sqref="G31">
    <cfRule type="expression" dxfId="1119" priority="1251">
      <formula>ISBLANK(G28)</formula>
    </cfRule>
  </conditionalFormatting>
  <conditionalFormatting sqref="I31">
    <cfRule type="expression" dxfId="1118" priority="1247">
      <formula>AND(NOT(ISBLANK(I28)),ISBLANK(I31))</formula>
    </cfRule>
    <cfRule type="expression" dxfId="1117" priority="1249">
      <formula>ISBLANK($D31)</formula>
    </cfRule>
  </conditionalFormatting>
  <conditionalFormatting sqref="I31">
    <cfRule type="expression" dxfId="1116" priority="1248">
      <formula>ISBLANK(I28)</formula>
    </cfRule>
  </conditionalFormatting>
  <conditionalFormatting sqref="H31">
    <cfRule type="expression" dxfId="1115" priority="1245">
      <formula>ISBLANK(H28)</formula>
    </cfRule>
  </conditionalFormatting>
  <conditionalFormatting sqref="H31">
    <cfRule type="expression" dxfId="1114" priority="1244">
      <formula>AND(NOT(ISBLANK(H28)),ISBLANK(H31))</formula>
    </cfRule>
    <cfRule type="expression" dxfId="1113" priority="1246">
      <formula>ISBLANK($D31)</formula>
    </cfRule>
  </conditionalFormatting>
  <conditionalFormatting sqref="J31">
    <cfRule type="expression" dxfId="1112" priority="1241">
      <formula>AND(NOT(ISBLANK(J28)),ISBLANK(J31))</formula>
    </cfRule>
    <cfRule type="expression" dxfId="1111" priority="1243">
      <formula>ISBLANK($D31)</formula>
    </cfRule>
  </conditionalFormatting>
  <conditionalFormatting sqref="J31">
    <cfRule type="expression" dxfId="1110" priority="1242">
      <formula>ISBLANK(J28)</formula>
    </cfRule>
  </conditionalFormatting>
  <conditionalFormatting sqref="H29">
    <cfRule type="expression" dxfId="1109" priority="1237">
      <formula>ISBLANK(H28)</formula>
    </cfRule>
    <cfRule type="expression" dxfId="1108" priority="1238">
      <formula>AND(NOT(ISBLANK(H28)),ISBLANK(H29))</formula>
    </cfRule>
    <cfRule type="expression" dxfId="1107" priority="1239">
      <formula>ISBLANK($D31)</formula>
    </cfRule>
    <cfRule type="expression" dxfId="1106" priority="1240">
      <formula>AND(ISNUMBER(G29),G29&lt;H29)</formula>
    </cfRule>
  </conditionalFormatting>
  <conditionalFormatting sqref="J29">
    <cfRule type="expression" dxfId="1105" priority="1235">
      <formula>AND(NOT(ISBLANK(J28)),ISBLANK(J29))</formula>
    </cfRule>
    <cfRule type="expression" dxfId="1104" priority="1236">
      <formula>ISBLANK($D31)</formula>
    </cfRule>
  </conditionalFormatting>
  <conditionalFormatting sqref="J36">
    <cfRule type="expression" dxfId="1103" priority="1181">
      <formula>ISBLANK(J34)</formula>
    </cfRule>
    <cfRule type="expression" dxfId="1102" priority="1182">
      <formula>ISBLANK($D37)</formula>
    </cfRule>
  </conditionalFormatting>
  <conditionalFormatting sqref="F35">
    <cfRule type="expression" dxfId="1101" priority="1210">
      <formula>AND(NOT(ISBLANK(F34)),ISBLANK(F35))</formula>
    </cfRule>
    <cfRule type="expression" dxfId="1100" priority="1211">
      <formula>ISBLANK(F34)</formula>
    </cfRule>
    <cfRule type="expression" dxfId="1099" priority="1218">
      <formula>ISBLANK($D37)</formula>
    </cfRule>
    <cfRule type="expression" dxfId="1098" priority="1220">
      <formula>AND(ISNUMBER(E35),E35&lt;F35)</formula>
    </cfRule>
  </conditionalFormatting>
  <conditionalFormatting sqref="F34">
    <cfRule type="expression" dxfId="1097" priority="1219">
      <formula>ISBLANK($D37)</formula>
    </cfRule>
  </conditionalFormatting>
  <conditionalFormatting sqref="F36:I36">
    <cfRule type="expression" dxfId="1096" priority="1212">
      <formula>ISBLANK(F34)</formula>
    </cfRule>
    <cfRule type="expression" dxfId="1095" priority="1217">
      <formula>ISBLANK($D37)</formula>
    </cfRule>
  </conditionalFormatting>
  <conditionalFormatting sqref="G34">
    <cfRule type="expression" dxfId="1094" priority="1216">
      <formula>ISBLANK($D37)</formula>
    </cfRule>
  </conditionalFormatting>
  <conditionalFormatting sqref="H34">
    <cfRule type="expression" dxfId="1093" priority="1215">
      <formula>ISBLANK($D37)</formula>
    </cfRule>
  </conditionalFormatting>
  <conditionalFormatting sqref="I34">
    <cfRule type="expression" dxfId="1092" priority="1214">
      <formula>ISBLANK($D37)</formula>
    </cfRule>
  </conditionalFormatting>
  <conditionalFormatting sqref="J34">
    <cfRule type="expression" dxfId="1091" priority="1213">
      <formula>ISBLANK($D37)</formula>
    </cfRule>
  </conditionalFormatting>
  <conditionalFormatting sqref="G35">
    <cfRule type="expression" dxfId="1090" priority="1207">
      <formula>AND(NOT(ISBLANK(G34)),ISBLANK(G35))</formula>
    </cfRule>
    <cfRule type="expression" dxfId="1089" priority="1208">
      <formula>ISBLANK(G34)</formula>
    </cfRule>
    <cfRule type="expression" dxfId="1088" priority="1209">
      <formula>AND(ISNUMBER(F35),F35&lt;G35)</formula>
    </cfRule>
  </conditionalFormatting>
  <conditionalFormatting sqref="I35">
    <cfRule type="expression" dxfId="1087" priority="1204">
      <formula>ISBLANK(I34)</formula>
    </cfRule>
    <cfRule type="expression" dxfId="1086" priority="1205">
      <formula>ISBLANK($D37)</formula>
    </cfRule>
    <cfRule type="expression" dxfId="1085" priority="1206">
      <formula>AND(ISNUMBER(H35),H35&lt;I35)</formula>
    </cfRule>
  </conditionalFormatting>
  <conditionalFormatting sqref="F37">
    <cfRule type="expression" dxfId="1084" priority="1201">
      <formula>AND(NOT(ISBLANK(F34)),ISBLANK(F37))</formula>
    </cfRule>
    <cfRule type="expression" dxfId="1083" priority="1203">
      <formula>ISBLANK($D37)</formula>
    </cfRule>
  </conditionalFormatting>
  <conditionalFormatting sqref="F37">
    <cfRule type="expression" dxfId="1082" priority="1202">
      <formula>ISBLANK(F34)</formula>
    </cfRule>
  </conditionalFormatting>
  <conditionalFormatting sqref="G37">
    <cfRule type="expression" dxfId="1081" priority="1198">
      <formula>AND(NOT(ISBLANK(G34)),ISBLANK(G37))</formula>
    </cfRule>
    <cfRule type="expression" dxfId="1080" priority="1200">
      <formula>ISBLANK($D37)</formula>
    </cfRule>
  </conditionalFormatting>
  <conditionalFormatting sqref="G37">
    <cfRule type="expression" dxfId="1079" priority="1199">
      <formula>ISBLANK(G34)</formula>
    </cfRule>
  </conditionalFormatting>
  <conditionalFormatting sqref="I37">
    <cfRule type="expression" dxfId="1078" priority="1195">
      <formula>AND(NOT(ISBLANK(I34)),ISBLANK(I37))</formula>
    </cfRule>
    <cfRule type="expression" dxfId="1077" priority="1197">
      <formula>ISBLANK($D37)</formula>
    </cfRule>
  </conditionalFormatting>
  <conditionalFormatting sqref="I37">
    <cfRule type="expression" dxfId="1076" priority="1196">
      <formula>ISBLANK(I34)</formula>
    </cfRule>
  </conditionalFormatting>
  <conditionalFormatting sqref="H37">
    <cfRule type="expression" dxfId="1075" priority="1193">
      <formula>ISBLANK(H34)</formula>
    </cfRule>
  </conditionalFormatting>
  <conditionalFormatting sqref="H37">
    <cfRule type="expression" dxfId="1074" priority="1192">
      <formula>AND(NOT(ISBLANK(H34)),ISBLANK(H37))</formula>
    </cfRule>
    <cfRule type="expression" dxfId="1073" priority="1194">
      <formula>ISBLANK($D37)</formula>
    </cfRule>
  </conditionalFormatting>
  <conditionalFormatting sqref="J37">
    <cfRule type="expression" dxfId="1072" priority="1189">
      <formula>AND(NOT(ISBLANK(J34)),ISBLANK(J37))</formula>
    </cfRule>
    <cfRule type="expression" dxfId="1071" priority="1191">
      <formula>ISBLANK($D37)</formula>
    </cfRule>
  </conditionalFormatting>
  <conditionalFormatting sqref="J37">
    <cfRule type="expression" dxfId="1070" priority="1190">
      <formula>ISBLANK(J34)</formula>
    </cfRule>
  </conditionalFormatting>
  <conditionalFormatting sqref="H35">
    <cfRule type="expression" dxfId="1069" priority="1185">
      <formula>ISBLANK(H34)</formula>
    </cfRule>
    <cfRule type="expression" dxfId="1068" priority="1186">
      <formula>AND(NOT(ISBLANK(H34)),ISBLANK(H35))</formula>
    </cfRule>
    <cfRule type="expression" dxfId="1067" priority="1187">
      <formula>ISBLANK($D37)</formula>
    </cfRule>
    <cfRule type="expression" dxfId="1066" priority="1188">
      <formula>AND(ISNUMBER(G35),G35&lt;H35)</formula>
    </cfRule>
  </conditionalFormatting>
  <conditionalFormatting sqref="J35">
    <cfRule type="expression" dxfId="1065" priority="1183">
      <formula>AND(NOT(ISBLANK(J34)),ISBLANK(J35))</formula>
    </cfRule>
    <cfRule type="expression" dxfId="1064" priority="1184">
      <formula>ISBLANK($D37)</formula>
    </cfRule>
  </conditionalFormatting>
  <conditionalFormatting sqref="J42">
    <cfRule type="expression" dxfId="1063" priority="1141">
      <formula>ISBLANK(J40)</formula>
    </cfRule>
    <cfRule type="expression" dxfId="1062" priority="1142">
      <formula>ISBLANK($D43)</formula>
    </cfRule>
  </conditionalFormatting>
  <conditionalFormatting sqref="F41">
    <cfRule type="expression" dxfId="1061" priority="1170">
      <formula>AND(NOT(ISBLANK(F40)),ISBLANK(F41))</formula>
    </cfRule>
    <cfRule type="expression" dxfId="1060" priority="1171">
      <formula>ISBLANK(F40)</formula>
    </cfRule>
    <cfRule type="expression" dxfId="1059" priority="1178">
      <formula>ISBLANK($D43)</formula>
    </cfRule>
    <cfRule type="expression" dxfId="1058" priority="1180">
      <formula>AND(ISNUMBER(E41),E41&lt;F41)</formula>
    </cfRule>
  </conditionalFormatting>
  <conditionalFormatting sqref="F40">
    <cfRule type="expression" dxfId="1057" priority="1179">
      <formula>ISBLANK($D43)</formula>
    </cfRule>
  </conditionalFormatting>
  <conditionalFormatting sqref="F42:I42">
    <cfRule type="expression" dxfId="1056" priority="1172">
      <formula>ISBLANK(F40)</formula>
    </cfRule>
    <cfRule type="expression" dxfId="1055" priority="1177">
      <formula>ISBLANK($D43)</formula>
    </cfRule>
  </conditionalFormatting>
  <conditionalFormatting sqref="G40">
    <cfRule type="expression" dxfId="1054" priority="1176">
      <formula>ISBLANK($D43)</formula>
    </cfRule>
  </conditionalFormatting>
  <conditionalFormatting sqref="H40">
    <cfRule type="expression" dxfId="1053" priority="1175">
      <formula>ISBLANK($D43)</formula>
    </cfRule>
  </conditionalFormatting>
  <conditionalFormatting sqref="I40">
    <cfRule type="expression" dxfId="1052" priority="1174">
      <formula>ISBLANK($D43)</formula>
    </cfRule>
  </conditionalFormatting>
  <conditionalFormatting sqref="J40">
    <cfRule type="expression" dxfId="1051" priority="1173">
      <formula>ISBLANK($D43)</formula>
    </cfRule>
  </conditionalFormatting>
  <conditionalFormatting sqref="G41">
    <cfRule type="expression" dxfId="1050" priority="1167">
      <formula>AND(NOT(ISBLANK(G40)),ISBLANK(G41))</formula>
    </cfRule>
    <cfRule type="expression" dxfId="1049" priority="1168">
      <formula>ISBLANK(G40)</formula>
    </cfRule>
    <cfRule type="expression" dxfId="1048" priority="1169">
      <formula>AND(ISNUMBER(F41),F41&lt;G41)</formula>
    </cfRule>
    <cfRule type="expression" dxfId="1047" priority="5990">
      <formula>ISBLANK($D43)</formula>
    </cfRule>
  </conditionalFormatting>
  <conditionalFormatting sqref="I41">
    <cfRule type="expression" dxfId="1046" priority="1164">
      <formula>ISBLANK(I40)</formula>
    </cfRule>
    <cfRule type="expression" dxfId="1045" priority="1165">
      <formula>ISBLANK($D43)</formula>
    </cfRule>
    <cfRule type="expression" dxfId="1044" priority="1166">
      <formula>AND(ISNUMBER(H41),H41&lt;I41)</formula>
    </cfRule>
    <cfRule type="expression" dxfId="1043" priority="5991">
      <formula>AND(NOT(ISBLANK(I40)),ISBLANK(I41))</formula>
    </cfRule>
  </conditionalFormatting>
  <conditionalFormatting sqref="F43">
    <cfRule type="expression" dxfId="1042" priority="1161">
      <formula>AND(NOT(ISBLANK(F40)),ISBLANK(F43))</formula>
    </cfRule>
    <cfRule type="expression" dxfId="1041" priority="1163">
      <formula>ISBLANK($D43)</formula>
    </cfRule>
  </conditionalFormatting>
  <conditionalFormatting sqref="F43">
    <cfRule type="expression" dxfId="1040" priority="1162">
      <formula>ISBLANK(F40)</formula>
    </cfRule>
  </conditionalFormatting>
  <conditionalFormatting sqref="G43">
    <cfRule type="expression" dxfId="1039" priority="1158">
      <formula>AND(NOT(ISBLANK(G40)),ISBLANK(G43))</formula>
    </cfRule>
    <cfRule type="expression" dxfId="1038" priority="1160">
      <formula>ISBLANK($D43)</formula>
    </cfRule>
  </conditionalFormatting>
  <conditionalFormatting sqref="G43">
    <cfRule type="expression" dxfId="1037" priority="1159">
      <formula>ISBLANK(G40)</formula>
    </cfRule>
  </conditionalFormatting>
  <conditionalFormatting sqref="I43">
    <cfRule type="expression" dxfId="1036" priority="1155">
      <formula>AND(NOT(ISBLANK(I40)),ISBLANK(I43))</formula>
    </cfRule>
    <cfRule type="expression" dxfId="1035" priority="1157">
      <formula>ISBLANK($D43)</formula>
    </cfRule>
  </conditionalFormatting>
  <conditionalFormatting sqref="I43">
    <cfRule type="expression" dxfId="1034" priority="1156">
      <formula>ISBLANK(I40)</formula>
    </cfRule>
  </conditionalFormatting>
  <conditionalFormatting sqref="H43">
    <cfRule type="expression" dxfId="1033" priority="1153">
      <formula>ISBLANK(H40)</formula>
    </cfRule>
  </conditionalFormatting>
  <conditionalFormatting sqref="H43">
    <cfRule type="expression" dxfId="1032" priority="1152">
      <formula>AND(NOT(ISBLANK(H40)),ISBLANK(H43))</formula>
    </cfRule>
    <cfRule type="expression" dxfId="1031" priority="1154">
      <formula>ISBLANK($D43)</formula>
    </cfRule>
  </conditionalFormatting>
  <conditionalFormatting sqref="J43">
    <cfRule type="expression" dxfId="1030" priority="1149">
      <formula>AND(NOT(ISBLANK(J40)),ISBLANK(J43))</formula>
    </cfRule>
    <cfRule type="expression" dxfId="1029" priority="1151">
      <formula>ISBLANK($D43)</formula>
    </cfRule>
  </conditionalFormatting>
  <conditionalFormatting sqref="J43">
    <cfRule type="expression" dxfId="1028" priority="1150">
      <formula>ISBLANK(J40)</formula>
    </cfRule>
  </conditionalFormatting>
  <conditionalFormatting sqref="H41">
    <cfRule type="expression" dxfId="1027" priority="1145">
      <formula>ISBLANK(H40)</formula>
    </cfRule>
    <cfRule type="expression" dxfId="1026" priority="1146">
      <formula>AND(NOT(ISBLANK(H40)),ISBLANK(H41))</formula>
    </cfRule>
    <cfRule type="expression" dxfId="1025" priority="1147">
      <formula>ISBLANK($D43)</formula>
    </cfRule>
    <cfRule type="expression" dxfId="1024" priority="1148">
      <formula>AND(ISNUMBER(G41),G41&lt;H41)</formula>
    </cfRule>
  </conditionalFormatting>
  <conditionalFormatting sqref="J41">
    <cfRule type="expression" dxfId="1023" priority="1143">
      <formula>AND(NOT(ISBLANK(J40)),ISBLANK(J41))</formula>
    </cfRule>
    <cfRule type="expression" dxfId="1022" priority="1144">
      <formula>ISBLANK($D43)</formula>
    </cfRule>
    <cfRule type="expression" dxfId="1021" priority="5992">
      <formula>ISBLANK(J40)</formula>
    </cfRule>
    <cfRule type="expression" dxfId="1020" priority="5992">
      <formula>AND(ISNUMBER(I41),I41&lt;J41)</formula>
    </cfRule>
  </conditionalFormatting>
  <conditionalFormatting sqref="J48">
    <cfRule type="expression" dxfId="1019" priority="1041">
      <formula>ISBLANK(J46)</formula>
    </cfRule>
    <cfRule type="expression" dxfId="1018" priority="1042">
      <formula>ISBLANK($D49)</formula>
    </cfRule>
  </conditionalFormatting>
  <conditionalFormatting sqref="F47">
    <cfRule type="expression" dxfId="1017" priority="1070">
      <formula>AND(NOT(ISBLANK(F46)),ISBLANK(F47))</formula>
    </cfRule>
    <cfRule type="expression" dxfId="1016" priority="1071">
      <formula>ISBLANK(F46)</formula>
    </cfRule>
    <cfRule type="expression" dxfId="1015" priority="1078">
      <formula>ISBLANK($D49)</formula>
    </cfRule>
    <cfRule type="expression" dxfId="1014" priority="1080">
      <formula>AND(ISNUMBER(E47),E47&lt;F47)</formula>
    </cfRule>
  </conditionalFormatting>
  <conditionalFormatting sqref="F46">
    <cfRule type="expression" dxfId="1013" priority="1079">
      <formula>ISBLANK($D49)</formula>
    </cfRule>
  </conditionalFormatting>
  <conditionalFormatting sqref="F48:I48">
    <cfRule type="expression" dxfId="1012" priority="1072">
      <formula>ISBLANK(F46)</formula>
    </cfRule>
    <cfRule type="expression" dxfId="1011" priority="1077">
      <formula>ISBLANK($D49)</formula>
    </cfRule>
  </conditionalFormatting>
  <conditionalFormatting sqref="G46">
    <cfRule type="expression" dxfId="1010" priority="1076">
      <formula>ISBLANK($D49)</formula>
    </cfRule>
  </conditionalFormatting>
  <conditionalFormatting sqref="H46">
    <cfRule type="expression" dxfId="1009" priority="1075">
      <formula>ISBLANK($D49)</formula>
    </cfRule>
  </conditionalFormatting>
  <conditionalFormatting sqref="I46">
    <cfRule type="expression" dxfId="1008" priority="1074">
      <formula>ISBLANK($D49)</formula>
    </cfRule>
  </conditionalFormatting>
  <conditionalFormatting sqref="J46">
    <cfRule type="expression" dxfId="1007" priority="1073">
      <formula>ISBLANK($D49)</formula>
    </cfRule>
  </conditionalFormatting>
  <conditionalFormatting sqref="G47">
    <cfRule type="expression" dxfId="1006" priority="1067">
      <formula>AND(NOT(ISBLANK(G46)),ISBLANK(G47))</formula>
    </cfRule>
    <cfRule type="expression" dxfId="1005" priority="1068">
      <formula>ISBLANK(G46)</formula>
    </cfRule>
    <cfRule type="expression" dxfId="1004" priority="1069">
      <formula>AND(ISNUMBER(F47),F47&lt;G47)</formula>
    </cfRule>
  </conditionalFormatting>
  <conditionalFormatting sqref="I47">
    <cfRule type="expression" dxfId="1003" priority="1064">
      <formula>ISBLANK(I46)</formula>
    </cfRule>
    <cfRule type="expression" dxfId="1002" priority="1065">
      <formula>ISBLANK($D49)</formula>
    </cfRule>
    <cfRule type="expression" dxfId="1001" priority="1066">
      <formula>AND(ISNUMBER(H47),H47&lt;I47)</formula>
    </cfRule>
  </conditionalFormatting>
  <conditionalFormatting sqref="F49">
    <cfRule type="expression" dxfId="1000" priority="1061">
      <formula>AND(NOT(ISBLANK(F46)),ISBLANK(F49))</formula>
    </cfRule>
    <cfRule type="expression" dxfId="999" priority="1063">
      <formula>ISBLANK($D49)</formula>
    </cfRule>
  </conditionalFormatting>
  <conditionalFormatting sqref="F49">
    <cfRule type="expression" dxfId="998" priority="1062">
      <formula>ISBLANK(F46)</formula>
    </cfRule>
  </conditionalFormatting>
  <conditionalFormatting sqref="G49">
    <cfRule type="expression" dxfId="997" priority="1058">
      <formula>AND(NOT(ISBLANK(G46)),ISBLANK(G49))</formula>
    </cfRule>
    <cfRule type="expression" dxfId="996" priority="1060">
      <formula>ISBLANK($D49)</formula>
    </cfRule>
  </conditionalFormatting>
  <conditionalFormatting sqref="G49">
    <cfRule type="expression" dxfId="995" priority="1059">
      <formula>ISBLANK(G46)</formula>
    </cfRule>
  </conditionalFormatting>
  <conditionalFormatting sqref="I49">
    <cfRule type="expression" dxfId="994" priority="1055">
      <formula>AND(NOT(ISBLANK(I46)),ISBLANK(I49))</formula>
    </cfRule>
    <cfRule type="expression" dxfId="993" priority="1057">
      <formula>ISBLANK($D49)</formula>
    </cfRule>
  </conditionalFormatting>
  <conditionalFormatting sqref="I49">
    <cfRule type="expression" dxfId="992" priority="1056">
      <formula>ISBLANK(I46)</formula>
    </cfRule>
  </conditionalFormatting>
  <conditionalFormatting sqref="H49">
    <cfRule type="expression" dxfId="991" priority="1053">
      <formula>ISBLANK(H46)</formula>
    </cfRule>
  </conditionalFormatting>
  <conditionalFormatting sqref="H49">
    <cfRule type="expression" dxfId="990" priority="1052">
      <formula>AND(NOT(ISBLANK(H46)),ISBLANK(H49))</formula>
    </cfRule>
    <cfRule type="expression" dxfId="989" priority="1054">
      <formula>ISBLANK($D49)</formula>
    </cfRule>
  </conditionalFormatting>
  <conditionalFormatting sqref="J49">
    <cfRule type="expression" dxfId="988" priority="1049">
      <formula>AND(NOT(ISBLANK(J46)),ISBLANK(J49))</formula>
    </cfRule>
    <cfRule type="expression" dxfId="987" priority="1051">
      <formula>ISBLANK($D49)</formula>
    </cfRule>
  </conditionalFormatting>
  <conditionalFormatting sqref="J49">
    <cfRule type="expression" dxfId="986" priority="1050">
      <formula>ISBLANK(J46)</formula>
    </cfRule>
  </conditionalFormatting>
  <conditionalFormatting sqref="H47">
    <cfRule type="expression" dxfId="985" priority="1045">
      <formula>ISBLANK(H46)</formula>
    </cfRule>
    <cfRule type="expression" dxfId="984" priority="1046">
      <formula>AND(NOT(ISBLANK(H46)),ISBLANK(H47))</formula>
    </cfRule>
    <cfRule type="expression" dxfId="983" priority="1047">
      <formula>ISBLANK($D49)</formula>
    </cfRule>
    <cfRule type="expression" dxfId="982" priority="1048">
      <formula>AND(ISNUMBER(G47),G47&lt;H47)</formula>
    </cfRule>
  </conditionalFormatting>
  <conditionalFormatting sqref="J47">
    <cfRule type="expression" dxfId="981" priority="1043">
      <formula>AND(NOT(ISBLANK(J46)),ISBLANK(J47))</formula>
    </cfRule>
    <cfRule type="expression" dxfId="980" priority="1044">
      <formula>ISBLANK($D49)</formula>
    </cfRule>
  </conditionalFormatting>
  <conditionalFormatting sqref="J54">
    <cfRule type="expression" dxfId="979" priority="1001">
      <formula>ISBLANK(J52)</formula>
    </cfRule>
    <cfRule type="expression" dxfId="978" priority="1002">
      <formula>ISBLANK($D55)</formula>
    </cfRule>
  </conditionalFormatting>
  <conditionalFormatting sqref="F53">
    <cfRule type="expression" dxfId="977" priority="1030">
      <formula>AND(NOT(ISBLANK(F52)),ISBLANK(F53))</formula>
    </cfRule>
    <cfRule type="expression" dxfId="976" priority="1031">
      <formula>ISBLANK(F52)</formula>
    </cfRule>
    <cfRule type="expression" dxfId="975" priority="1038">
      <formula>ISBLANK($D55)</formula>
    </cfRule>
    <cfRule type="expression" dxfId="974" priority="1040">
      <formula>AND(ISNUMBER(E53),E53&lt;F53)</formula>
    </cfRule>
  </conditionalFormatting>
  <conditionalFormatting sqref="F52">
    <cfRule type="expression" dxfId="973" priority="1039">
      <formula>ISBLANK($D55)</formula>
    </cfRule>
  </conditionalFormatting>
  <conditionalFormatting sqref="F54:I54">
    <cfRule type="expression" dxfId="972" priority="1032">
      <formula>ISBLANK(F52)</formula>
    </cfRule>
    <cfRule type="expression" dxfId="971" priority="1037">
      <formula>ISBLANK($D55)</formula>
    </cfRule>
  </conditionalFormatting>
  <conditionalFormatting sqref="G52">
    <cfRule type="expression" dxfId="970" priority="1036">
      <formula>ISBLANK($D55)</formula>
    </cfRule>
  </conditionalFormatting>
  <conditionalFormatting sqref="H52">
    <cfRule type="expression" dxfId="969" priority="1035">
      <formula>ISBLANK($D55)</formula>
    </cfRule>
  </conditionalFormatting>
  <conditionalFormatting sqref="I52">
    <cfRule type="expression" dxfId="968" priority="1034">
      <formula>ISBLANK($D55)</formula>
    </cfRule>
  </conditionalFormatting>
  <conditionalFormatting sqref="J52">
    <cfRule type="expression" dxfId="967" priority="1033">
      <formula>ISBLANK($D55)</formula>
    </cfRule>
  </conditionalFormatting>
  <conditionalFormatting sqref="G53">
    <cfRule type="expression" dxfId="966" priority="1027">
      <formula>AND(NOT(ISBLANK(G52)),ISBLANK(G53))</formula>
    </cfRule>
    <cfRule type="expression" dxfId="965" priority="1028">
      <formula>ISBLANK(G52)</formula>
    </cfRule>
    <cfRule type="expression" dxfId="964" priority="1029">
      <formula>AND(ISNUMBER(F53),F53&lt;G53)</formula>
    </cfRule>
    <cfRule type="expression" dxfId="963" priority="5993">
      <formula>ISBLANK($D55)</formula>
    </cfRule>
  </conditionalFormatting>
  <conditionalFormatting sqref="I53">
    <cfRule type="expression" dxfId="962" priority="1024">
      <formula>ISBLANK(I52)</formula>
    </cfRule>
    <cfRule type="expression" dxfId="961" priority="1025">
      <formula>ISBLANK($D55)</formula>
    </cfRule>
    <cfRule type="expression" dxfId="960" priority="1026">
      <formula>AND(ISNUMBER(H53),H53&lt;I53)</formula>
    </cfRule>
    <cfRule type="expression" dxfId="959" priority="5994">
      <formula>AND(NOT(ISBLANK(I52)),ISBLANK(I53))</formula>
    </cfRule>
  </conditionalFormatting>
  <conditionalFormatting sqref="F55">
    <cfRule type="expression" dxfId="958" priority="1021">
      <formula>AND(NOT(ISBLANK(F52)),ISBLANK(F55))</formula>
    </cfRule>
    <cfRule type="expression" dxfId="957" priority="1023">
      <formula>ISBLANK($D55)</formula>
    </cfRule>
  </conditionalFormatting>
  <conditionalFormatting sqref="F55">
    <cfRule type="expression" dxfId="956" priority="1022">
      <formula>ISBLANK(F52)</formula>
    </cfRule>
  </conditionalFormatting>
  <conditionalFormatting sqref="G55">
    <cfRule type="expression" dxfId="955" priority="1018">
      <formula>AND(NOT(ISBLANK(G52)),ISBLANK(G55))</formula>
    </cfRule>
    <cfRule type="expression" dxfId="954" priority="1020">
      <formula>ISBLANK($D55)</formula>
    </cfRule>
  </conditionalFormatting>
  <conditionalFormatting sqref="G55">
    <cfRule type="expression" dxfId="953" priority="1019">
      <formula>ISBLANK(G52)</formula>
    </cfRule>
  </conditionalFormatting>
  <conditionalFormatting sqref="I55">
    <cfRule type="expression" dxfId="952" priority="1015">
      <formula>AND(NOT(ISBLANK(I52)),ISBLANK(I55))</formula>
    </cfRule>
    <cfRule type="expression" dxfId="951" priority="1017">
      <formula>ISBLANK($D55)</formula>
    </cfRule>
  </conditionalFormatting>
  <conditionalFormatting sqref="I55">
    <cfRule type="expression" dxfId="950" priority="1016">
      <formula>ISBLANK(I52)</formula>
    </cfRule>
  </conditionalFormatting>
  <conditionalFormatting sqref="H55">
    <cfRule type="expression" dxfId="949" priority="1013">
      <formula>ISBLANK(H52)</formula>
    </cfRule>
  </conditionalFormatting>
  <conditionalFormatting sqref="H55">
    <cfRule type="expression" dxfId="948" priority="1012">
      <formula>AND(NOT(ISBLANK(H52)),ISBLANK(H55))</formula>
    </cfRule>
    <cfRule type="expression" dxfId="947" priority="1014">
      <formula>ISBLANK($D55)</formula>
    </cfRule>
  </conditionalFormatting>
  <conditionalFormatting sqref="J55">
    <cfRule type="expression" dxfId="946" priority="1009">
      <formula>AND(NOT(ISBLANK(J52)),ISBLANK(J55))</formula>
    </cfRule>
    <cfRule type="expression" dxfId="945" priority="1011">
      <formula>ISBLANK($D55)</formula>
    </cfRule>
  </conditionalFormatting>
  <conditionalFormatting sqref="J55">
    <cfRule type="expression" dxfId="944" priority="1010">
      <formula>ISBLANK(J52)</formula>
    </cfRule>
  </conditionalFormatting>
  <conditionalFormatting sqref="H53">
    <cfRule type="expression" dxfId="943" priority="1005">
      <formula>ISBLANK(H52)</formula>
    </cfRule>
    <cfRule type="expression" dxfId="942" priority="1006">
      <formula>AND(NOT(ISBLANK(H52)),ISBLANK(H53))</formula>
    </cfRule>
    <cfRule type="expression" dxfId="941" priority="1007">
      <formula>ISBLANK($D55)</formula>
    </cfRule>
    <cfRule type="expression" dxfId="940" priority="1008">
      <formula>AND(ISNUMBER(G53),G53&lt;H53)</formula>
    </cfRule>
  </conditionalFormatting>
  <conditionalFormatting sqref="J53">
    <cfRule type="expression" dxfId="939" priority="1003">
      <formula>AND(NOT(ISBLANK(J52)),ISBLANK(J53))</formula>
    </cfRule>
    <cfRule type="expression" dxfId="938" priority="1004">
      <formula>ISBLANK($D55)</formula>
    </cfRule>
    <cfRule type="expression" dxfId="937" priority="5995">
      <formula>ISBLANK(J52)</formula>
    </cfRule>
    <cfRule type="expression" dxfId="936" priority="5995">
      <formula>AND(ISNUMBER(I53),I53&lt;J53)</formula>
    </cfRule>
  </conditionalFormatting>
  <conditionalFormatting sqref="J60">
    <cfRule type="expression" dxfId="935" priority="961">
      <formula>ISBLANK(J58)</formula>
    </cfRule>
    <cfRule type="expression" dxfId="934" priority="962">
      <formula>ISBLANK($D61)</formula>
    </cfRule>
  </conditionalFormatting>
  <conditionalFormatting sqref="F59">
    <cfRule type="expression" dxfId="933" priority="990">
      <formula>AND(NOT(ISBLANK(F58)),ISBLANK(F59))</formula>
    </cfRule>
    <cfRule type="expression" dxfId="932" priority="991">
      <formula>ISBLANK(F58)</formula>
    </cfRule>
    <cfRule type="expression" dxfId="931" priority="998">
      <formula>ISBLANK($D61)</formula>
    </cfRule>
    <cfRule type="expression" dxfId="930" priority="1000">
      <formula>AND(ISNUMBER(E59),E59&lt;F59)</formula>
    </cfRule>
  </conditionalFormatting>
  <conditionalFormatting sqref="F58">
    <cfRule type="expression" dxfId="929" priority="999">
      <formula>ISBLANK($D61)</formula>
    </cfRule>
  </conditionalFormatting>
  <conditionalFormatting sqref="F60:I60">
    <cfRule type="expression" dxfId="928" priority="992">
      <formula>ISBLANK(F58)</formula>
    </cfRule>
    <cfRule type="expression" dxfId="927" priority="997">
      <formula>ISBLANK($D61)</formula>
    </cfRule>
  </conditionalFormatting>
  <conditionalFormatting sqref="G58">
    <cfRule type="expression" dxfId="926" priority="996">
      <formula>ISBLANK($D61)</formula>
    </cfRule>
  </conditionalFormatting>
  <conditionalFormatting sqref="H58">
    <cfRule type="expression" dxfId="925" priority="995">
      <formula>ISBLANK($D61)</formula>
    </cfRule>
  </conditionalFormatting>
  <conditionalFormatting sqref="I58">
    <cfRule type="expression" dxfId="924" priority="994">
      <formula>ISBLANK($D61)</formula>
    </cfRule>
  </conditionalFormatting>
  <conditionalFormatting sqref="J58">
    <cfRule type="expression" dxfId="923" priority="993">
      <formula>ISBLANK($D61)</formula>
    </cfRule>
  </conditionalFormatting>
  <conditionalFormatting sqref="G59">
    <cfRule type="expression" dxfId="922" priority="987">
      <formula>AND(NOT(ISBLANK(G58)),ISBLANK(G59))</formula>
    </cfRule>
    <cfRule type="expression" dxfId="921" priority="988">
      <formula>ISBLANK(G58)</formula>
    </cfRule>
    <cfRule type="expression" dxfId="920" priority="989">
      <formula>AND(ISNUMBER(F59),F59&lt;G59)</formula>
    </cfRule>
    <cfRule type="expression" dxfId="919" priority="5996">
      <formula>ISBLANK($D61)</formula>
    </cfRule>
  </conditionalFormatting>
  <conditionalFormatting sqref="I59">
    <cfRule type="expression" dxfId="918" priority="984">
      <formula>ISBLANK(I58)</formula>
    </cfRule>
    <cfRule type="expression" dxfId="917" priority="985">
      <formula>ISBLANK($D61)</formula>
    </cfRule>
    <cfRule type="expression" dxfId="916" priority="986">
      <formula>AND(ISNUMBER(H59),H59&lt;I59)</formula>
    </cfRule>
    <cfRule type="expression" dxfId="915" priority="5997">
      <formula>AND(NOT(ISBLANK(I58)),ISBLANK(I59))</formula>
    </cfRule>
  </conditionalFormatting>
  <conditionalFormatting sqref="F61">
    <cfRule type="expression" dxfId="914" priority="981">
      <formula>AND(NOT(ISBLANK(F58)),ISBLANK(F61))</formula>
    </cfRule>
    <cfRule type="expression" dxfId="913" priority="983">
      <formula>ISBLANK($D61)</formula>
    </cfRule>
  </conditionalFormatting>
  <conditionalFormatting sqref="F61">
    <cfRule type="expression" dxfId="912" priority="982">
      <formula>ISBLANK(F58)</formula>
    </cfRule>
  </conditionalFormatting>
  <conditionalFormatting sqref="G61">
    <cfRule type="expression" dxfId="911" priority="978">
      <formula>AND(NOT(ISBLANK(G58)),ISBLANK(G61))</formula>
    </cfRule>
    <cfRule type="expression" dxfId="910" priority="980">
      <formula>ISBLANK($D61)</formula>
    </cfRule>
  </conditionalFormatting>
  <conditionalFormatting sqref="G61">
    <cfRule type="expression" dxfId="909" priority="979">
      <formula>ISBLANK(G58)</formula>
    </cfRule>
  </conditionalFormatting>
  <conditionalFormatting sqref="I61">
    <cfRule type="expression" dxfId="908" priority="975">
      <formula>AND(NOT(ISBLANK(I58)),ISBLANK(I61))</formula>
    </cfRule>
    <cfRule type="expression" dxfId="907" priority="977">
      <formula>ISBLANK($D61)</formula>
    </cfRule>
  </conditionalFormatting>
  <conditionalFormatting sqref="I61">
    <cfRule type="expression" dxfId="906" priority="976">
      <formula>ISBLANK(I58)</formula>
    </cfRule>
  </conditionalFormatting>
  <conditionalFormatting sqref="H61">
    <cfRule type="expression" dxfId="905" priority="973">
      <formula>ISBLANK(H58)</formula>
    </cfRule>
  </conditionalFormatting>
  <conditionalFormatting sqref="H61">
    <cfRule type="expression" dxfId="904" priority="972">
      <formula>AND(NOT(ISBLANK(H58)),ISBLANK(H61))</formula>
    </cfRule>
    <cfRule type="expression" dxfId="903" priority="974">
      <formula>ISBLANK($D61)</formula>
    </cfRule>
  </conditionalFormatting>
  <conditionalFormatting sqref="J61">
    <cfRule type="expression" dxfId="902" priority="969">
      <formula>AND(NOT(ISBLANK(J58)),ISBLANK(J61))</formula>
    </cfRule>
    <cfRule type="expression" dxfId="901" priority="971">
      <formula>ISBLANK($D61)</formula>
    </cfRule>
  </conditionalFormatting>
  <conditionalFormatting sqref="J61">
    <cfRule type="expression" dxfId="900" priority="970">
      <formula>ISBLANK(J58)</formula>
    </cfRule>
  </conditionalFormatting>
  <conditionalFormatting sqref="H59">
    <cfRule type="expression" dxfId="899" priority="965">
      <formula>ISBLANK(H58)</formula>
    </cfRule>
    <cfRule type="expression" dxfId="898" priority="966">
      <formula>AND(NOT(ISBLANK(H58)),ISBLANK(H59))</formula>
    </cfRule>
    <cfRule type="expression" dxfId="897" priority="967">
      <formula>ISBLANK($D61)</formula>
    </cfRule>
    <cfRule type="expression" dxfId="896" priority="968">
      <formula>AND(ISNUMBER(G59),G59&lt;H59)</formula>
    </cfRule>
  </conditionalFormatting>
  <conditionalFormatting sqref="J59">
    <cfRule type="expression" dxfId="895" priority="963">
      <formula>AND(NOT(ISBLANK(J58)),ISBLANK(J59))</formula>
    </cfRule>
    <cfRule type="expression" dxfId="894" priority="964">
      <formula>ISBLANK($D61)</formula>
    </cfRule>
    <cfRule type="expression" dxfId="893" priority="5998">
      <formula>ISBLANK(J58)</formula>
    </cfRule>
    <cfRule type="expression" dxfId="892" priority="5998">
      <formula>AND(ISNUMBER(I59),I59&lt;J59)</formula>
    </cfRule>
  </conditionalFormatting>
  <conditionalFormatting sqref="J66">
    <cfRule type="expression" dxfId="891" priority="921">
      <formula>ISBLANK(J64)</formula>
    </cfRule>
    <cfRule type="expression" dxfId="890" priority="922">
      <formula>ISBLANK($D67)</formula>
    </cfRule>
  </conditionalFormatting>
  <conditionalFormatting sqref="F65">
    <cfRule type="expression" dxfId="889" priority="950">
      <formula>AND(NOT(ISBLANK(F64)),ISBLANK(F65))</formula>
    </cfRule>
    <cfRule type="expression" dxfId="888" priority="951">
      <formula>ISBLANK(F64)</formula>
    </cfRule>
    <cfRule type="expression" dxfId="887" priority="958">
      <formula>ISBLANK($D67)</formula>
    </cfRule>
    <cfRule type="expression" dxfId="886" priority="960">
      <formula>AND(ISNUMBER(E65),E65&lt;F65)</formula>
    </cfRule>
  </conditionalFormatting>
  <conditionalFormatting sqref="F64">
    <cfRule type="expression" dxfId="885" priority="959">
      <formula>ISBLANK($D67)</formula>
    </cfRule>
  </conditionalFormatting>
  <conditionalFormatting sqref="F66:I66">
    <cfRule type="expression" dxfId="884" priority="952">
      <formula>ISBLANK(F64)</formula>
    </cfRule>
    <cfRule type="expression" dxfId="883" priority="957">
      <formula>ISBLANK($D67)</formula>
    </cfRule>
  </conditionalFormatting>
  <conditionalFormatting sqref="G64">
    <cfRule type="expression" dxfId="882" priority="956">
      <formula>ISBLANK($D67)</formula>
    </cfRule>
  </conditionalFormatting>
  <conditionalFormatting sqref="H64">
    <cfRule type="expression" dxfId="881" priority="955">
      <formula>ISBLANK($D67)</formula>
    </cfRule>
  </conditionalFormatting>
  <conditionalFormatting sqref="I64">
    <cfRule type="expression" dxfId="880" priority="954">
      <formula>ISBLANK($D67)</formula>
    </cfRule>
  </conditionalFormatting>
  <conditionalFormatting sqref="J64">
    <cfRule type="expression" dxfId="879" priority="953">
      <formula>ISBLANK($D67)</formula>
    </cfRule>
  </conditionalFormatting>
  <conditionalFormatting sqref="G65">
    <cfRule type="expression" dxfId="878" priority="947">
      <formula>AND(NOT(ISBLANK(G64)),ISBLANK(G65))</formula>
    </cfRule>
    <cfRule type="expression" dxfId="877" priority="948">
      <formula>ISBLANK(G64)</formula>
    </cfRule>
    <cfRule type="expression" dxfId="876" priority="949">
      <formula>AND(ISNUMBER(F65),F65&lt;G65)</formula>
    </cfRule>
    <cfRule type="expression" dxfId="875" priority="5999">
      <formula>ISBLANK($D67)</formula>
    </cfRule>
  </conditionalFormatting>
  <conditionalFormatting sqref="I65">
    <cfRule type="expression" dxfId="874" priority="944">
      <formula>ISBLANK(I64)</formula>
    </cfRule>
    <cfRule type="expression" dxfId="873" priority="945">
      <formula>ISBLANK($D67)</formula>
    </cfRule>
    <cfRule type="expression" dxfId="872" priority="946">
      <formula>AND(ISNUMBER(H65),H65&lt;I65)</formula>
    </cfRule>
    <cfRule type="expression" dxfId="871" priority="6000">
      <formula>AND(NOT(ISBLANK(I64)),ISBLANK(I65))</formula>
    </cfRule>
  </conditionalFormatting>
  <conditionalFormatting sqref="F67">
    <cfRule type="expression" dxfId="870" priority="941">
      <formula>AND(NOT(ISBLANK(F64)),ISBLANK(F67))</formula>
    </cfRule>
    <cfRule type="expression" dxfId="869" priority="943">
      <formula>ISBLANK($D67)</formula>
    </cfRule>
  </conditionalFormatting>
  <conditionalFormatting sqref="F67">
    <cfRule type="expression" dxfId="868" priority="942">
      <formula>ISBLANK(F64)</formula>
    </cfRule>
  </conditionalFormatting>
  <conditionalFormatting sqref="G67">
    <cfRule type="expression" dxfId="867" priority="938">
      <formula>AND(NOT(ISBLANK(G64)),ISBLANK(G67))</formula>
    </cfRule>
    <cfRule type="expression" dxfId="866" priority="940">
      <formula>ISBLANK($D67)</formula>
    </cfRule>
  </conditionalFormatting>
  <conditionalFormatting sqref="G67">
    <cfRule type="expression" dxfId="865" priority="939">
      <formula>ISBLANK(G64)</formula>
    </cfRule>
  </conditionalFormatting>
  <conditionalFormatting sqref="I67">
    <cfRule type="expression" dxfId="864" priority="935">
      <formula>AND(NOT(ISBLANK(I64)),ISBLANK(I67))</formula>
    </cfRule>
    <cfRule type="expression" dxfId="863" priority="937">
      <formula>ISBLANK($D67)</formula>
    </cfRule>
  </conditionalFormatting>
  <conditionalFormatting sqref="I67">
    <cfRule type="expression" dxfId="862" priority="936">
      <formula>ISBLANK(I64)</formula>
    </cfRule>
  </conditionalFormatting>
  <conditionalFormatting sqref="H67">
    <cfRule type="expression" dxfId="861" priority="933">
      <formula>ISBLANK(H64)</formula>
    </cfRule>
  </conditionalFormatting>
  <conditionalFormatting sqref="H67">
    <cfRule type="expression" dxfId="860" priority="932">
      <formula>AND(NOT(ISBLANK(H64)),ISBLANK(H67))</formula>
    </cfRule>
    <cfRule type="expression" dxfId="859" priority="934">
      <formula>ISBLANK($D67)</formula>
    </cfRule>
  </conditionalFormatting>
  <conditionalFormatting sqref="J67">
    <cfRule type="expression" dxfId="858" priority="929">
      <formula>AND(NOT(ISBLANK(J64)),ISBLANK(J67))</formula>
    </cfRule>
    <cfRule type="expression" dxfId="857" priority="931">
      <formula>ISBLANK($D67)</formula>
    </cfRule>
  </conditionalFormatting>
  <conditionalFormatting sqref="J67">
    <cfRule type="expression" dxfId="856" priority="930">
      <formula>ISBLANK(J64)</formula>
    </cfRule>
  </conditionalFormatting>
  <conditionalFormatting sqref="H65">
    <cfRule type="expression" dxfId="855" priority="925">
      <formula>ISBLANK(H64)</formula>
    </cfRule>
    <cfRule type="expression" dxfId="854" priority="926">
      <formula>AND(NOT(ISBLANK(H64)),ISBLANK(H65))</formula>
    </cfRule>
    <cfRule type="expression" dxfId="853" priority="927">
      <formula>ISBLANK($D67)</formula>
    </cfRule>
    <cfRule type="expression" dxfId="852" priority="928">
      <formula>AND(ISNUMBER(G65),G65&lt;H65)</formula>
    </cfRule>
  </conditionalFormatting>
  <conditionalFormatting sqref="J65">
    <cfRule type="expression" dxfId="851" priority="923">
      <formula>AND(NOT(ISBLANK(J64)),ISBLANK(J65))</formula>
    </cfRule>
    <cfRule type="expression" dxfId="850" priority="924">
      <formula>ISBLANK($D67)</formula>
    </cfRule>
    <cfRule type="expression" dxfId="849" priority="6001">
      <formula>ISBLANK(J64)</formula>
    </cfRule>
    <cfRule type="expression" dxfId="848" priority="6001">
      <formula>AND(ISNUMBER(I65),I65&lt;J65)</formula>
    </cfRule>
  </conditionalFormatting>
  <conditionalFormatting sqref="J72">
    <cfRule type="expression" dxfId="847" priority="881">
      <formula>ISBLANK(J70)</formula>
    </cfRule>
    <cfRule type="expression" dxfId="846" priority="882">
      <formula>ISBLANK($D73)</formula>
    </cfRule>
  </conditionalFormatting>
  <conditionalFormatting sqref="F71">
    <cfRule type="expression" dxfId="845" priority="910">
      <formula>AND(NOT(ISBLANK(F70)),ISBLANK(F71))</formula>
    </cfRule>
    <cfRule type="expression" dxfId="844" priority="911">
      <formula>ISBLANK(F70)</formula>
    </cfRule>
    <cfRule type="expression" dxfId="843" priority="918">
      <formula>ISBLANK($D73)</formula>
    </cfRule>
    <cfRule type="expression" dxfId="842" priority="920">
      <formula>AND(ISNUMBER(E71),E71&lt;F71)</formula>
    </cfRule>
  </conditionalFormatting>
  <conditionalFormatting sqref="F70">
    <cfRule type="expression" dxfId="841" priority="919">
      <formula>ISBLANK($D73)</formula>
    </cfRule>
  </conditionalFormatting>
  <conditionalFormatting sqref="F72:I72">
    <cfRule type="expression" dxfId="840" priority="912">
      <formula>ISBLANK(F70)</formula>
    </cfRule>
    <cfRule type="expression" dxfId="839" priority="917">
      <formula>ISBLANK($D73)</formula>
    </cfRule>
  </conditionalFormatting>
  <conditionalFormatting sqref="G70">
    <cfRule type="expression" dxfId="838" priority="916">
      <formula>ISBLANK($D73)</formula>
    </cfRule>
  </conditionalFormatting>
  <conditionalFormatting sqref="H70">
    <cfRule type="expression" dxfId="837" priority="915">
      <formula>ISBLANK($D73)</formula>
    </cfRule>
  </conditionalFormatting>
  <conditionalFormatting sqref="I70">
    <cfRule type="expression" dxfId="836" priority="914">
      <formula>ISBLANK($D73)</formula>
    </cfRule>
  </conditionalFormatting>
  <conditionalFormatting sqref="J70">
    <cfRule type="expression" dxfId="835" priority="913">
      <formula>ISBLANK($D73)</formula>
    </cfRule>
  </conditionalFormatting>
  <conditionalFormatting sqref="G71">
    <cfRule type="expression" dxfId="834" priority="907">
      <formula>AND(NOT(ISBLANK(G70)),ISBLANK(G71))</formula>
    </cfRule>
    <cfRule type="expression" dxfId="833" priority="908">
      <formula>ISBLANK(G70)</formula>
    </cfRule>
    <cfRule type="expression" dxfId="832" priority="909">
      <formula>AND(ISNUMBER(F71),F71&lt;G71)</formula>
    </cfRule>
  </conditionalFormatting>
  <conditionalFormatting sqref="I71">
    <cfRule type="expression" dxfId="831" priority="904">
      <formula>ISBLANK(I70)</formula>
    </cfRule>
    <cfRule type="expression" dxfId="830" priority="905">
      <formula>ISBLANK($D73)</formula>
    </cfRule>
    <cfRule type="expression" dxfId="829" priority="906">
      <formula>AND(ISNUMBER(H71),H71&lt;I71)</formula>
    </cfRule>
  </conditionalFormatting>
  <conditionalFormatting sqref="F73">
    <cfRule type="expression" dxfId="828" priority="901">
      <formula>AND(NOT(ISBLANK(F70)),ISBLANK(F73))</formula>
    </cfRule>
    <cfRule type="expression" dxfId="827" priority="903">
      <formula>ISBLANK($D73)</formula>
    </cfRule>
  </conditionalFormatting>
  <conditionalFormatting sqref="F73">
    <cfRule type="expression" dxfId="826" priority="902">
      <formula>ISBLANK(F70)</formula>
    </cfRule>
  </conditionalFormatting>
  <conditionalFormatting sqref="G73">
    <cfRule type="expression" dxfId="825" priority="898">
      <formula>AND(NOT(ISBLANK(G70)),ISBLANK(G73))</formula>
    </cfRule>
    <cfRule type="expression" dxfId="824" priority="900">
      <formula>ISBLANK($D73)</formula>
    </cfRule>
  </conditionalFormatting>
  <conditionalFormatting sqref="G73">
    <cfRule type="expression" dxfId="823" priority="899">
      <formula>ISBLANK(G70)</formula>
    </cfRule>
  </conditionalFormatting>
  <conditionalFormatting sqref="I73">
    <cfRule type="expression" dxfId="822" priority="895">
      <formula>AND(NOT(ISBLANK(I70)),ISBLANK(I73))</formula>
    </cfRule>
    <cfRule type="expression" dxfId="821" priority="897">
      <formula>ISBLANK($D73)</formula>
    </cfRule>
  </conditionalFormatting>
  <conditionalFormatting sqref="I73">
    <cfRule type="expression" dxfId="820" priority="896">
      <formula>ISBLANK(I70)</formula>
    </cfRule>
  </conditionalFormatting>
  <conditionalFormatting sqref="H73">
    <cfRule type="expression" dxfId="819" priority="893">
      <formula>ISBLANK(H70)</formula>
    </cfRule>
  </conditionalFormatting>
  <conditionalFormatting sqref="H73">
    <cfRule type="expression" dxfId="818" priority="892">
      <formula>AND(NOT(ISBLANK(H70)),ISBLANK(H73))</formula>
    </cfRule>
    <cfRule type="expression" dxfId="817" priority="894">
      <formula>ISBLANK($D73)</formula>
    </cfRule>
  </conditionalFormatting>
  <conditionalFormatting sqref="J73">
    <cfRule type="expression" dxfId="816" priority="889">
      <formula>AND(NOT(ISBLANK(J70)),ISBLANK(J73))</formula>
    </cfRule>
    <cfRule type="expression" dxfId="815" priority="891">
      <formula>ISBLANK($D73)</formula>
    </cfRule>
  </conditionalFormatting>
  <conditionalFormatting sqref="J73">
    <cfRule type="expression" dxfId="814" priority="890">
      <formula>ISBLANK(J70)</formula>
    </cfRule>
  </conditionalFormatting>
  <conditionalFormatting sqref="H71">
    <cfRule type="expression" dxfId="813" priority="885">
      <formula>ISBLANK(H70)</formula>
    </cfRule>
    <cfRule type="expression" dxfId="812" priority="886">
      <formula>AND(NOT(ISBLANK(H70)),ISBLANK(H71))</formula>
    </cfRule>
    <cfRule type="expression" dxfId="811" priority="887">
      <formula>ISBLANK($D73)</formula>
    </cfRule>
    <cfRule type="expression" dxfId="810" priority="888">
      <formula>AND(ISNUMBER(G71),G71&lt;H71)</formula>
    </cfRule>
  </conditionalFormatting>
  <conditionalFormatting sqref="J71">
    <cfRule type="expression" dxfId="809" priority="883">
      <formula>AND(NOT(ISBLANK(J70)),ISBLANK(J71))</formula>
    </cfRule>
    <cfRule type="expression" dxfId="808" priority="884">
      <formula>ISBLANK($D73)</formula>
    </cfRule>
  </conditionalFormatting>
  <conditionalFormatting sqref="J78">
    <cfRule type="expression" dxfId="807" priority="821">
      <formula>ISBLANK(J76)</formula>
    </cfRule>
    <cfRule type="expression" dxfId="806" priority="822">
      <formula>ISBLANK($D79)</formula>
    </cfRule>
  </conditionalFormatting>
  <conditionalFormatting sqref="F77">
    <cfRule type="expression" dxfId="805" priority="850">
      <formula>AND(NOT(ISBLANK(F76)),ISBLANK(F77))</formula>
    </cfRule>
    <cfRule type="expression" dxfId="804" priority="851">
      <formula>ISBLANK(F76)</formula>
    </cfRule>
    <cfRule type="expression" dxfId="803" priority="858">
      <formula>ISBLANK($D79)</formula>
    </cfRule>
    <cfRule type="expression" dxfId="802" priority="860">
      <formula>AND(ISNUMBER(E77),E77&lt;F77)</formula>
    </cfRule>
  </conditionalFormatting>
  <conditionalFormatting sqref="F76">
    <cfRule type="expression" dxfId="801" priority="859">
      <formula>ISBLANK($D79)</formula>
    </cfRule>
  </conditionalFormatting>
  <conditionalFormatting sqref="F78:I78">
    <cfRule type="expression" dxfId="800" priority="852">
      <formula>ISBLANK(F76)</formula>
    </cfRule>
    <cfRule type="expression" dxfId="799" priority="857">
      <formula>ISBLANK($D79)</formula>
    </cfRule>
  </conditionalFormatting>
  <conditionalFormatting sqref="G76">
    <cfRule type="expression" dxfId="798" priority="856">
      <formula>ISBLANK($D79)</formula>
    </cfRule>
  </conditionalFormatting>
  <conditionalFormatting sqref="H76">
    <cfRule type="expression" dxfId="797" priority="855">
      <formula>ISBLANK($D79)</formula>
    </cfRule>
  </conditionalFormatting>
  <conditionalFormatting sqref="I76">
    <cfRule type="expression" dxfId="796" priority="854">
      <formula>ISBLANK($D79)</formula>
    </cfRule>
  </conditionalFormatting>
  <conditionalFormatting sqref="J76">
    <cfRule type="expression" dxfId="795" priority="853">
      <formula>ISBLANK($D79)</formula>
    </cfRule>
  </conditionalFormatting>
  <conditionalFormatting sqref="G77">
    <cfRule type="expression" dxfId="794" priority="847">
      <formula>AND(NOT(ISBLANK(G76)),ISBLANK(G77))</formula>
    </cfRule>
    <cfRule type="expression" dxfId="793" priority="848">
      <formula>ISBLANK(G76)</formula>
    </cfRule>
    <cfRule type="expression" dxfId="792" priority="849">
      <formula>AND(ISNUMBER(F77),F77&lt;G77)</formula>
    </cfRule>
  </conditionalFormatting>
  <conditionalFormatting sqref="I77">
    <cfRule type="expression" dxfId="791" priority="844">
      <formula>ISBLANK(I76)</formula>
    </cfRule>
    <cfRule type="expression" dxfId="790" priority="845">
      <formula>ISBLANK($D79)</formula>
    </cfRule>
    <cfRule type="expression" dxfId="789" priority="846">
      <formula>AND(ISNUMBER(H77),H77&lt;I77)</formula>
    </cfRule>
  </conditionalFormatting>
  <conditionalFormatting sqref="F79">
    <cfRule type="expression" dxfId="788" priority="841">
      <formula>AND(NOT(ISBLANK(F76)),ISBLANK(F79))</formula>
    </cfRule>
    <cfRule type="expression" dxfId="787" priority="843">
      <formula>ISBLANK($D79)</formula>
    </cfRule>
  </conditionalFormatting>
  <conditionalFormatting sqref="F79">
    <cfRule type="expression" dxfId="786" priority="842">
      <formula>ISBLANK(F76)</formula>
    </cfRule>
  </conditionalFormatting>
  <conditionalFormatting sqref="G79">
    <cfRule type="expression" dxfId="785" priority="838">
      <formula>AND(NOT(ISBLANK(G76)),ISBLANK(G79))</formula>
    </cfRule>
    <cfRule type="expression" dxfId="784" priority="840">
      <formula>ISBLANK($D79)</formula>
    </cfRule>
  </conditionalFormatting>
  <conditionalFormatting sqref="G79">
    <cfRule type="expression" dxfId="783" priority="839">
      <formula>ISBLANK(G76)</formula>
    </cfRule>
  </conditionalFormatting>
  <conditionalFormatting sqref="I79">
    <cfRule type="expression" dxfId="782" priority="835">
      <formula>AND(NOT(ISBLANK(I76)),ISBLANK(I79))</formula>
    </cfRule>
    <cfRule type="expression" dxfId="781" priority="837">
      <formula>ISBLANK($D79)</formula>
    </cfRule>
  </conditionalFormatting>
  <conditionalFormatting sqref="I79">
    <cfRule type="expression" dxfId="780" priority="836">
      <formula>ISBLANK(I76)</formula>
    </cfRule>
  </conditionalFormatting>
  <conditionalFormatting sqref="H79">
    <cfRule type="expression" dxfId="779" priority="833">
      <formula>ISBLANK(H76)</formula>
    </cfRule>
  </conditionalFormatting>
  <conditionalFormatting sqref="H79">
    <cfRule type="expression" dxfId="778" priority="832">
      <formula>AND(NOT(ISBLANK(H76)),ISBLANK(H79))</formula>
    </cfRule>
    <cfRule type="expression" dxfId="777" priority="834">
      <formula>ISBLANK($D79)</formula>
    </cfRule>
  </conditionalFormatting>
  <conditionalFormatting sqref="J79">
    <cfRule type="expression" dxfId="776" priority="829">
      <formula>AND(NOT(ISBLANK(J76)),ISBLANK(J79))</formula>
    </cfRule>
    <cfRule type="expression" dxfId="775" priority="831">
      <formula>ISBLANK($D79)</formula>
    </cfRule>
  </conditionalFormatting>
  <conditionalFormatting sqref="J79">
    <cfRule type="expression" dxfId="774" priority="830">
      <formula>ISBLANK(J76)</formula>
    </cfRule>
  </conditionalFormatting>
  <conditionalFormatting sqref="H77">
    <cfRule type="expression" dxfId="773" priority="825">
      <formula>ISBLANK(H76)</formula>
    </cfRule>
    <cfRule type="expression" dxfId="772" priority="826">
      <formula>AND(NOT(ISBLANK(H76)),ISBLANK(H77))</formula>
    </cfRule>
    <cfRule type="expression" dxfId="771" priority="827">
      <formula>ISBLANK($D79)</formula>
    </cfRule>
    <cfRule type="expression" dxfId="770" priority="828">
      <formula>AND(ISNUMBER(G77),G77&lt;H77)</formula>
    </cfRule>
  </conditionalFormatting>
  <conditionalFormatting sqref="J77">
    <cfRule type="expression" dxfId="769" priority="823">
      <formula>AND(NOT(ISBLANK(J76)),ISBLANK(J77))</formula>
    </cfRule>
    <cfRule type="expression" dxfId="768" priority="824">
      <formula>ISBLANK($D79)</formula>
    </cfRule>
  </conditionalFormatting>
  <conditionalFormatting sqref="J84">
    <cfRule type="expression" dxfId="767" priority="781">
      <formula>ISBLANK(J82)</formula>
    </cfRule>
    <cfRule type="expression" dxfId="766" priority="782">
      <formula>ISBLANK($D85)</formula>
    </cfRule>
  </conditionalFormatting>
  <conditionalFormatting sqref="F83">
    <cfRule type="expression" dxfId="765" priority="810">
      <formula>AND(NOT(ISBLANK(F82)),ISBLANK(F83))</formula>
    </cfRule>
    <cfRule type="expression" dxfId="764" priority="811">
      <formula>ISBLANK(F82)</formula>
    </cfRule>
    <cfRule type="expression" dxfId="763" priority="818">
      <formula>ISBLANK($D85)</formula>
    </cfRule>
    <cfRule type="expression" dxfId="762" priority="820">
      <formula>AND(ISNUMBER(E83),E83&lt;F83)</formula>
    </cfRule>
  </conditionalFormatting>
  <conditionalFormatting sqref="F82">
    <cfRule type="expression" dxfId="761" priority="819">
      <formula>ISBLANK($D85)</formula>
    </cfRule>
  </conditionalFormatting>
  <conditionalFormatting sqref="F84:I84">
    <cfRule type="expression" dxfId="760" priority="812">
      <formula>ISBLANK(F82)</formula>
    </cfRule>
    <cfRule type="expression" dxfId="759" priority="817">
      <formula>ISBLANK($D85)</formula>
    </cfRule>
  </conditionalFormatting>
  <conditionalFormatting sqref="G82">
    <cfRule type="expression" dxfId="758" priority="816">
      <formula>ISBLANK($D85)</formula>
    </cfRule>
  </conditionalFormatting>
  <conditionalFormatting sqref="H82">
    <cfRule type="expression" dxfId="757" priority="815">
      <formula>ISBLANK($D85)</formula>
    </cfRule>
  </conditionalFormatting>
  <conditionalFormatting sqref="I82">
    <cfRule type="expression" dxfId="756" priority="814">
      <formula>ISBLANK($D85)</formula>
    </cfRule>
  </conditionalFormatting>
  <conditionalFormatting sqref="J82">
    <cfRule type="expression" dxfId="755" priority="813">
      <formula>ISBLANK($D85)</formula>
    </cfRule>
  </conditionalFormatting>
  <conditionalFormatting sqref="G83">
    <cfRule type="expression" dxfId="754" priority="807">
      <formula>AND(NOT(ISBLANK(G82)),ISBLANK(G83))</formula>
    </cfRule>
    <cfRule type="expression" dxfId="753" priority="808">
      <formula>ISBLANK(G82)</formula>
    </cfRule>
    <cfRule type="expression" dxfId="752" priority="809">
      <formula>AND(ISNUMBER(F83),F83&lt;G83)</formula>
    </cfRule>
    <cfRule type="expression" dxfId="751" priority="6002">
      <formula>ISBLANK($D85)</formula>
    </cfRule>
  </conditionalFormatting>
  <conditionalFormatting sqref="I83">
    <cfRule type="expression" dxfId="750" priority="804">
      <formula>ISBLANK(I82)</formula>
    </cfRule>
    <cfRule type="expression" dxfId="749" priority="805">
      <formula>ISBLANK($D85)</formula>
    </cfRule>
    <cfRule type="expression" dxfId="748" priority="806">
      <formula>AND(ISNUMBER(H83),H83&lt;I83)</formula>
    </cfRule>
    <cfRule type="expression" dxfId="747" priority="6003">
      <formula>AND(NOT(ISBLANK(I82)),ISBLANK(I83))</formula>
    </cfRule>
  </conditionalFormatting>
  <conditionalFormatting sqref="F85">
    <cfRule type="expression" dxfId="746" priority="801">
      <formula>AND(NOT(ISBLANK(F82)),ISBLANK(F85))</formula>
    </cfRule>
    <cfRule type="expression" dxfId="745" priority="803">
      <formula>ISBLANK($D85)</formula>
    </cfRule>
  </conditionalFormatting>
  <conditionalFormatting sqref="F85">
    <cfRule type="expression" dxfId="744" priority="802">
      <formula>ISBLANK(F82)</formula>
    </cfRule>
  </conditionalFormatting>
  <conditionalFormatting sqref="G85">
    <cfRule type="expression" dxfId="743" priority="798">
      <formula>AND(NOT(ISBLANK(G82)),ISBLANK(G85))</formula>
    </cfRule>
    <cfRule type="expression" dxfId="742" priority="800">
      <formula>ISBLANK($D85)</formula>
    </cfRule>
  </conditionalFormatting>
  <conditionalFormatting sqref="G85">
    <cfRule type="expression" dxfId="741" priority="799">
      <formula>ISBLANK(G82)</formula>
    </cfRule>
  </conditionalFormatting>
  <conditionalFormatting sqref="I85">
    <cfRule type="expression" dxfId="740" priority="795">
      <formula>AND(NOT(ISBLANK(I82)),ISBLANK(I85))</formula>
    </cfRule>
    <cfRule type="expression" dxfId="739" priority="797">
      <formula>ISBLANK($D85)</formula>
    </cfRule>
  </conditionalFormatting>
  <conditionalFormatting sqref="I85">
    <cfRule type="expression" dxfId="738" priority="796">
      <formula>ISBLANK(I82)</formula>
    </cfRule>
  </conditionalFormatting>
  <conditionalFormatting sqref="H85">
    <cfRule type="expression" dxfId="737" priority="793">
      <formula>ISBLANK(H82)</formula>
    </cfRule>
  </conditionalFormatting>
  <conditionalFormatting sqref="H85">
    <cfRule type="expression" dxfId="736" priority="792">
      <formula>AND(NOT(ISBLANK(H82)),ISBLANK(H85))</formula>
    </cfRule>
    <cfRule type="expression" dxfId="735" priority="794">
      <formula>ISBLANK($D85)</formula>
    </cfRule>
  </conditionalFormatting>
  <conditionalFormatting sqref="J85">
    <cfRule type="expression" dxfId="734" priority="789">
      <formula>AND(NOT(ISBLANK(J82)),ISBLANK(J85))</formula>
    </cfRule>
    <cfRule type="expression" dxfId="733" priority="791">
      <formula>ISBLANK($D85)</formula>
    </cfRule>
  </conditionalFormatting>
  <conditionalFormatting sqref="J85">
    <cfRule type="expression" dxfId="732" priority="790">
      <formula>ISBLANK(J82)</formula>
    </cfRule>
  </conditionalFormatting>
  <conditionalFormatting sqref="H83">
    <cfRule type="expression" dxfId="731" priority="785">
      <formula>ISBLANK(H82)</formula>
    </cfRule>
    <cfRule type="expression" dxfId="730" priority="786">
      <formula>AND(NOT(ISBLANK(H82)),ISBLANK(H83))</formula>
    </cfRule>
    <cfRule type="expression" dxfId="729" priority="787">
      <formula>ISBLANK($D85)</formula>
    </cfRule>
    <cfRule type="expression" dxfId="728" priority="788">
      <formula>AND(ISNUMBER(G83),G83&lt;H83)</formula>
    </cfRule>
  </conditionalFormatting>
  <conditionalFormatting sqref="J83">
    <cfRule type="expression" dxfId="727" priority="783">
      <formula>AND(NOT(ISBLANK(J82)),ISBLANK(J83))</formula>
    </cfRule>
    <cfRule type="expression" dxfId="726" priority="784">
      <formula>ISBLANK($D85)</formula>
    </cfRule>
    <cfRule type="expression" dxfId="725" priority="6004">
      <formula>ISBLANK(J82)</formula>
    </cfRule>
    <cfRule type="expression" dxfId="724" priority="6004">
      <formula>AND(ISNUMBER(I83),I83&lt;J83)</formula>
    </cfRule>
  </conditionalFormatting>
  <conditionalFormatting sqref="J90">
    <cfRule type="expression" dxfId="723" priority="741">
      <formula>ISBLANK(J88)</formula>
    </cfRule>
    <cfRule type="expression" dxfId="722" priority="742">
      <formula>ISBLANK($D91)</formula>
    </cfRule>
  </conditionalFormatting>
  <conditionalFormatting sqref="F89">
    <cfRule type="expression" dxfId="721" priority="770">
      <formula>AND(NOT(ISBLANK(F88)),ISBLANK(F89))</formula>
    </cfRule>
    <cfRule type="expression" dxfId="720" priority="771">
      <formula>ISBLANK(F88)</formula>
    </cfRule>
    <cfRule type="expression" dxfId="719" priority="778">
      <formula>ISBLANK($D91)</formula>
    </cfRule>
    <cfRule type="expression" dxfId="718" priority="780">
      <formula>AND(ISNUMBER(E89),E89&lt;F89)</formula>
    </cfRule>
  </conditionalFormatting>
  <conditionalFormatting sqref="F88">
    <cfRule type="expression" dxfId="717" priority="779">
      <formula>ISBLANK($D91)</formula>
    </cfRule>
  </conditionalFormatting>
  <conditionalFormatting sqref="F90:I90">
    <cfRule type="expression" dxfId="716" priority="772">
      <formula>ISBLANK(F88)</formula>
    </cfRule>
    <cfRule type="expression" dxfId="715" priority="777">
      <formula>ISBLANK($D91)</formula>
    </cfRule>
  </conditionalFormatting>
  <conditionalFormatting sqref="G88">
    <cfRule type="expression" dxfId="714" priority="776">
      <formula>ISBLANK($D91)</formula>
    </cfRule>
  </conditionalFormatting>
  <conditionalFormatting sqref="H88">
    <cfRule type="expression" dxfId="713" priority="775">
      <formula>ISBLANK($D91)</formula>
    </cfRule>
  </conditionalFormatting>
  <conditionalFormatting sqref="I88">
    <cfRule type="expression" dxfId="712" priority="774">
      <formula>ISBLANK($D91)</formula>
    </cfRule>
  </conditionalFormatting>
  <conditionalFormatting sqref="J88">
    <cfRule type="expression" dxfId="711" priority="773">
      <formula>ISBLANK($D91)</formula>
    </cfRule>
  </conditionalFormatting>
  <conditionalFormatting sqref="G89">
    <cfRule type="expression" dxfId="710" priority="767">
      <formula>AND(NOT(ISBLANK(G88)),ISBLANK(G89))</formula>
    </cfRule>
    <cfRule type="expression" dxfId="709" priority="768">
      <formula>ISBLANK(G88)</formula>
    </cfRule>
    <cfRule type="expression" dxfId="708" priority="769">
      <formula>AND(ISNUMBER(F89),F89&lt;G89)</formula>
    </cfRule>
    <cfRule type="expression" dxfId="707" priority="6005">
      <formula>ISBLANK($D91)</formula>
    </cfRule>
  </conditionalFormatting>
  <conditionalFormatting sqref="I89">
    <cfRule type="expression" dxfId="706" priority="764">
      <formula>ISBLANK(I88)</formula>
    </cfRule>
    <cfRule type="expression" dxfId="705" priority="765">
      <formula>ISBLANK($D91)</formula>
    </cfRule>
    <cfRule type="expression" dxfId="704" priority="766">
      <formula>AND(ISNUMBER(H89),H89&lt;I89)</formula>
    </cfRule>
    <cfRule type="expression" dxfId="703" priority="6006">
      <formula>AND(NOT(ISBLANK(I88)),ISBLANK(I89))</formula>
    </cfRule>
  </conditionalFormatting>
  <conditionalFormatting sqref="F91">
    <cfRule type="expression" dxfId="702" priority="761">
      <formula>AND(NOT(ISBLANK(F88)),ISBLANK(F91))</formula>
    </cfRule>
    <cfRule type="expression" dxfId="701" priority="763">
      <formula>ISBLANK($D91)</formula>
    </cfRule>
  </conditionalFormatting>
  <conditionalFormatting sqref="F91">
    <cfRule type="expression" dxfId="700" priority="762">
      <formula>ISBLANK(F88)</formula>
    </cfRule>
  </conditionalFormatting>
  <conditionalFormatting sqref="G91">
    <cfRule type="expression" dxfId="699" priority="758">
      <formula>AND(NOT(ISBLANK(G88)),ISBLANK(G91))</formula>
    </cfRule>
    <cfRule type="expression" dxfId="698" priority="760">
      <formula>ISBLANK($D91)</formula>
    </cfRule>
  </conditionalFormatting>
  <conditionalFormatting sqref="G91">
    <cfRule type="expression" dxfId="697" priority="759">
      <formula>ISBLANK(G88)</formula>
    </cfRule>
  </conditionalFormatting>
  <conditionalFormatting sqref="I91">
    <cfRule type="expression" dxfId="696" priority="755">
      <formula>AND(NOT(ISBLANK(I88)),ISBLANK(I91))</formula>
    </cfRule>
    <cfRule type="expression" dxfId="695" priority="757">
      <formula>ISBLANK($D91)</formula>
    </cfRule>
  </conditionalFormatting>
  <conditionalFormatting sqref="I91">
    <cfRule type="expression" dxfId="694" priority="756">
      <formula>ISBLANK(I88)</formula>
    </cfRule>
  </conditionalFormatting>
  <conditionalFormatting sqref="H91">
    <cfRule type="expression" dxfId="693" priority="753">
      <formula>ISBLANK(H88)</formula>
    </cfRule>
  </conditionalFormatting>
  <conditionalFormatting sqref="H91">
    <cfRule type="expression" dxfId="692" priority="752">
      <formula>AND(NOT(ISBLANK(H88)),ISBLANK(H91))</formula>
    </cfRule>
    <cfRule type="expression" dxfId="691" priority="754">
      <formula>ISBLANK($D91)</formula>
    </cfRule>
  </conditionalFormatting>
  <conditionalFormatting sqref="J91">
    <cfRule type="expression" dxfId="690" priority="749">
      <formula>AND(NOT(ISBLANK(J88)),ISBLANK(J91))</formula>
    </cfRule>
    <cfRule type="expression" dxfId="689" priority="751">
      <formula>ISBLANK($D91)</formula>
    </cfRule>
  </conditionalFormatting>
  <conditionalFormatting sqref="J91">
    <cfRule type="expression" dxfId="688" priority="750">
      <formula>ISBLANK(J88)</formula>
    </cfRule>
  </conditionalFormatting>
  <conditionalFormatting sqref="H89">
    <cfRule type="expression" dxfId="687" priority="745">
      <formula>ISBLANK(H88)</formula>
    </cfRule>
    <cfRule type="expression" dxfId="686" priority="746">
      <formula>AND(NOT(ISBLANK(H88)),ISBLANK(H89))</formula>
    </cfRule>
    <cfRule type="expression" dxfId="685" priority="747">
      <formula>ISBLANK($D91)</formula>
    </cfRule>
    <cfRule type="expression" dxfId="684" priority="748">
      <formula>AND(ISNUMBER(G89),G89&lt;H89)</formula>
    </cfRule>
  </conditionalFormatting>
  <conditionalFormatting sqref="J89">
    <cfRule type="expression" dxfId="683" priority="743">
      <formula>AND(NOT(ISBLANK(J88)),ISBLANK(J89))</formula>
    </cfRule>
    <cfRule type="expression" dxfId="682" priority="744">
      <formula>ISBLANK($D91)</formula>
    </cfRule>
    <cfRule type="expression" dxfId="681" priority="6007">
      <formula>ISBLANK(J88)</formula>
    </cfRule>
    <cfRule type="expression" dxfId="680" priority="6007">
      <formula>AND(ISNUMBER(I89),I89&lt;J89)</formula>
    </cfRule>
  </conditionalFormatting>
  <conditionalFormatting sqref="J96">
    <cfRule type="expression" dxfId="679" priority="701">
      <formula>ISBLANK(J94)</formula>
    </cfRule>
    <cfRule type="expression" dxfId="678" priority="702">
      <formula>ISBLANK($D97)</formula>
    </cfRule>
  </conditionalFormatting>
  <conditionalFormatting sqref="F95">
    <cfRule type="expression" dxfId="677" priority="730">
      <formula>AND(NOT(ISBLANK(F94)),ISBLANK(F95))</formula>
    </cfRule>
    <cfRule type="expression" dxfId="676" priority="731">
      <formula>ISBLANK(F94)</formula>
    </cfRule>
    <cfRule type="expression" dxfId="675" priority="738">
      <formula>ISBLANK($D97)</formula>
    </cfRule>
    <cfRule type="expression" dxfId="674" priority="740">
      <formula>AND(ISNUMBER(E95),E95&lt;F95)</formula>
    </cfRule>
  </conditionalFormatting>
  <conditionalFormatting sqref="F94">
    <cfRule type="expression" dxfId="673" priority="739">
      <formula>ISBLANK($D97)</formula>
    </cfRule>
  </conditionalFormatting>
  <conditionalFormatting sqref="F96:I96">
    <cfRule type="expression" dxfId="672" priority="732">
      <formula>ISBLANK(F94)</formula>
    </cfRule>
    <cfRule type="expression" dxfId="671" priority="737">
      <formula>ISBLANK($D97)</formula>
    </cfRule>
  </conditionalFormatting>
  <conditionalFormatting sqref="G94">
    <cfRule type="expression" dxfId="670" priority="736">
      <formula>ISBLANK($D97)</formula>
    </cfRule>
  </conditionalFormatting>
  <conditionalFormatting sqref="H94">
    <cfRule type="expression" dxfId="669" priority="735">
      <formula>ISBLANK($D97)</formula>
    </cfRule>
  </conditionalFormatting>
  <conditionalFormatting sqref="I94">
    <cfRule type="expression" dxfId="668" priority="734">
      <formula>ISBLANK($D97)</formula>
    </cfRule>
  </conditionalFormatting>
  <conditionalFormatting sqref="J94">
    <cfRule type="expression" dxfId="667" priority="733">
      <formula>ISBLANK($D97)</formula>
    </cfRule>
  </conditionalFormatting>
  <conditionalFormatting sqref="G95">
    <cfRule type="expression" dxfId="666" priority="727">
      <formula>AND(NOT(ISBLANK(G94)),ISBLANK(G95))</formula>
    </cfRule>
    <cfRule type="expression" dxfId="665" priority="728">
      <formula>ISBLANK(G94)</formula>
    </cfRule>
    <cfRule type="expression" dxfId="664" priority="729">
      <formula>AND(ISNUMBER(F95),F95&lt;G95)</formula>
    </cfRule>
    <cfRule type="expression" dxfId="663" priority="6008">
      <formula>ISBLANK($D97)</formula>
    </cfRule>
  </conditionalFormatting>
  <conditionalFormatting sqref="I95">
    <cfRule type="expression" dxfId="662" priority="724">
      <formula>ISBLANK(I94)</formula>
    </cfRule>
    <cfRule type="expression" dxfId="661" priority="725">
      <formula>ISBLANK($D97)</formula>
    </cfRule>
    <cfRule type="expression" dxfId="660" priority="726">
      <formula>AND(ISNUMBER(H95),H95&lt;I95)</formula>
    </cfRule>
    <cfRule type="expression" dxfId="659" priority="6009">
      <formula>AND(NOT(ISBLANK(I94)),ISBLANK(I95))</formula>
    </cfRule>
  </conditionalFormatting>
  <conditionalFormatting sqref="F97">
    <cfRule type="expression" dxfId="658" priority="721">
      <formula>AND(NOT(ISBLANK(F94)),ISBLANK(F97))</formula>
    </cfRule>
    <cfRule type="expression" dxfId="657" priority="723">
      <formula>ISBLANK($D97)</formula>
    </cfRule>
  </conditionalFormatting>
  <conditionalFormatting sqref="F97">
    <cfRule type="expression" dxfId="656" priority="722">
      <formula>ISBLANK(F94)</formula>
    </cfRule>
  </conditionalFormatting>
  <conditionalFormatting sqref="G97">
    <cfRule type="expression" dxfId="655" priority="718">
      <formula>AND(NOT(ISBLANK(G94)),ISBLANK(G97))</formula>
    </cfRule>
    <cfRule type="expression" dxfId="654" priority="720">
      <formula>ISBLANK($D97)</formula>
    </cfRule>
  </conditionalFormatting>
  <conditionalFormatting sqref="G97">
    <cfRule type="expression" dxfId="653" priority="719">
      <formula>ISBLANK(G94)</formula>
    </cfRule>
  </conditionalFormatting>
  <conditionalFormatting sqref="I97">
    <cfRule type="expression" dxfId="652" priority="715">
      <formula>AND(NOT(ISBLANK(I94)),ISBLANK(I97))</formula>
    </cfRule>
    <cfRule type="expression" dxfId="651" priority="717">
      <formula>ISBLANK($D97)</formula>
    </cfRule>
  </conditionalFormatting>
  <conditionalFormatting sqref="I97">
    <cfRule type="expression" dxfId="650" priority="716">
      <formula>ISBLANK(I94)</formula>
    </cfRule>
  </conditionalFormatting>
  <conditionalFormatting sqref="H97">
    <cfRule type="expression" dxfId="649" priority="713">
      <formula>ISBLANK(H94)</formula>
    </cfRule>
  </conditionalFormatting>
  <conditionalFormatting sqref="H97">
    <cfRule type="expression" dxfId="648" priority="712">
      <formula>AND(NOT(ISBLANK(H94)),ISBLANK(H97))</formula>
    </cfRule>
    <cfRule type="expression" dxfId="647" priority="714">
      <formula>ISBLANK($D97)</formula>
    </cfRule>
  </conditionalFormatting>
  <conditionalFormatting sqref="J97">
    <cfRule type="expression" dxfId="646" priority="709">
      <formula>AND(NOT(ISBLANK(J94)),ISBLANK(J97))</formula>
    </cfRule>
    <cfRule type="expression" dxfId="645" priority="711">
      <formula>ISBLANK($D97)</formula>
    </cfRule>
  </conditionalFormatting>
  <conditionalFormatting sqref="J97">
    <cfRule type="expression" dxfId="644" priority="710">
      <formula>ISBLANK(J94)</formula>
    </cfRule>
  </conditionalFormatting>
  <conditionalFormatting sqref="H95">
    <cfRule type="expression" dxfId="643" priority="705">
      <formula>ISBLANK(H94)</formula>
    </cfRule>
    <cfRule type="expression" dxfId="642" priority="706">
      <formula>AND(NOT(ISBLANK(H94)),ISBLANK(H95))</formula>
    </cfRule>
    <cfRule type="expression" dxfId="641" priority="707">
      <formula>ISBLANK($D97)</formula>
    </cfRule>
    <cfRule type="expression" dxfId="640" priority="708">
      <formula>AND(ISNUMBER(G95),G95&lt;H95)</formula>
    </cfRule>
  </conditionalFormatting>
  <conditionalFormatting sqref="J95">
    <cfRule type="expression" dxfId="639" priority="703">
      <formula>AND(NOT(ISBLANK(J94)),ISBLANK(J95))</formula>
    </cfRule>
    <cfRule type="expression" dxfId="638" priority="704">
      <formula>ISBLANK($D97)</formula>
    </cfRule>
    <cfRule type="expression" dxfId="637" priority="6010">
      <formula>ISBLANK(J94)</formula>
    </cfRule>
    <cfRule type="expression" dxfId="636" priority="6010">
      <formula>AND(ISNUMBER(I95),I95&lt;J95)</formula>
    </cfRule>
  </conditionalFormatting>
  <conditionalFormatting sqref="J102">
    <cfRule type="expression" dxfId="635" priority="661">
      <formula>ISBLANK(J100)</formula>
    </cfRule>
    <cfRule type="expression" dxfId="634" priority="662">
      <formula>ISBLANK($D103)</formula>
    </cfRule>
  </conditionalFormatting>
  <conditionalFormatting sqref="F101">
    <cfRule type="expression" dxfId="633" priority="690">
      <formula>AND(NOT(ISBLANK(F100)),ISBLANK(F101))</formula>
    </cfRule>
    <cfRule type="expression" dxfId="632" priority="691">
      <formula>ISBLANK(F100)</formula>
    </cfRule>
    <cfRule type="expression" dxfId="631" priority="698">
      <formula>ISBLANK($D103)</formula>
    </cfRule>
    <cfRule type="expression" dxfId="630" priority="700">
      <formula>AND(ISNUMBER(E101),E101&lt;F101)</formula>
    </cfRule>
  </conditionalFormatting>
  <conditionalFormatting sqref="F100">
    <cfRule type="expression" dxfId="629" priority="699">
      <formula>ISBLANK($D103)</formula>
    </cfRule>
  </conditionalFormatting>
  <conditionalFormatting sqref="F102:I102">
    <cfRule type="expression" dxfId="628" priority="692">
      <formula>ISBLANK(F100)</formula>
    </cfRule>
    <cfRule type="expression" dxfId="627" priority="697">
      <formula>ISBLANK($D103)</formula>
    </cfRule>
  </conditionalFormatting>
  <conditionalFormatting sqref="G100">
    <cfRule type="expression" dxfId="626" priority="696">
      <formula>ISBLANK($D103)</formula>
    </cfRule>
  </conditionalFormatting>
  <conditionalFormatting sqref="H100">
    <cfRule type="expression" dxfId="625" priority="695">
      <formula>ISBLANK($D103)</formula>
    </cfRule>
  </conditionalFormatting>
  <conditionalFormatting sqref="I100">
    <cfRule type="expression" dxfId="624" priority="694">
      <formula>ISBLANK($D103)</formula>
    </cfRule>
  </conditionalFormatting>
  <conditionalFormatting sqref="J100">
    <cfRule type="expression" dxfId="623" priority="693">
      <formula>ISBLANK($D103)</formula>
    </cfRule>
  </conditionalFormatting>
  <conditionalFormatting sqref="G101">
    <cfRule type="expression" dxfId="622" priority="687">
      <formula>AND(NOT(ISBLANK(G100)),ISBLANK(G101))</formula>
    </cfRule>
    <cfRule type="expression" dxfId="621" priority="688">
      <formula>ISBLANK(G100)</formula>
    </cfRule>
    <cfRule type="expression" dxfId="620" priority="689">
      <formula>AND(ISNUMBER(F101),F101&lt;G101)</formula>
    </cfRule>
  </conditionalFormatting>
  <conditionalFormatting sqref="I101">
    <cfRule type="expression" dxfId="619" priority="684">
      <formula>ISBLANK(I100)</formula>
    </cfRule>
    <cfRule type="expression" dxfId="618" priority="685">
      <formula>ISBLANK($D103)</formula>
    </cfRule>
    <cfRule type="expression" dxfId="617" priority="686">
      <formula>AND(ISNUMBER(H101),H101&lt;I101)</formula>
    </cfRule>
  </conditionalFormatting>
  <conditionalFormatting sqref="F103">
    <cfRule type="expression" dxfId="616" priority="681">
      <formula>AND(NOT(ISBLANK(F100)),ISBLANK(F103))</formula>
    </cfRule>
    <cfRule type="expression" dxfId="615" priority="683">
      <formula>ISBLANK($D103)</formula>
    </cfRule>
  </conditionalFormatting>
  <conditionalFormatting sqref="F103">
    <cfRule type="expression" dxfId="614" priority="682">
      <formula>ISBLANK(F100)</formula>
    </cfRule>
  </conditionalFormatting>
  <conditionalFormatting sqref="G103">
    <cfRule type="expression" dxfId="613" priority="678">
      <formula>AND(NOT(ISBLANK(G100)),ISBLANK(G103))</formula>
    </cfRule>
    <cfRule type="expression" dxfId="612" priority="680">
      <formula>ISBLANK($D103)</formula>
    </cfRule>
  </conditionalFormatting>
  <conditionalFormatting sqref="G103">
    <cfRule type="expression" dxfId="611" priority="679">
      <formula>ISBLANK(G100)</formula>
    </cfRule>
  </conditionalFormatting>
  <conditionalFormatting sqref="I103">
    <cfRule type="expression" dxfId="610" priority="675">
      <formula>AND(NOT(ISBLANK(I100)),ISBLANK(I103))</formula>
    </cfRule>
    <cfRule type="expression" dxfId="609" priority="677">
      <formula>ISBLANK($D103)</formula>
    </cfRule>
  </conditionalFormatting>
  <conditionalFormatting sqref="I103">
    <cfRule type="expression" dxfId="608" priority="676">
      <formula>ISBLANK(I100)</formula>
    </cfRule>
  </conditionalFormatting>
  <conditionalFormatting sqref="H103">
    <cfRule type="expression" dxfId="607" priority="673">
      <formula>ISBLANK(H100)</formula>
    </cfRule>
  </conditionalFormatting>
  <conditionalFormatting sqref="H103">
    <cfRule type="expression" dxfId="606" priority="672">
      <formula>AND(NOT(ISBLANK(H100)),ISBLANK(H103))</formula>
    </cfRule>
    <cfRule type="expression" dxfId="605" priority="674">
      <formula>ISBLANK($D103)</formula>
    </cfRule>
  </conditionalFormatting>
  <conditionalFormatting sqref="J103">
    <cfRule type="expression" dxfId="604" priority="669">
      <formula>AND(NOT(ISBLANK(J100)),ISBLANK(J103))</formula>
    </cfRule>
    <cfRule type="expression" dxfId="603" priority="671">
      <formula>ISBLANK($D103)</formula>
    </cfRule>
  </conditionalFormatting>
  <conditionalFormatting sqref="J103">
    <cfRule type="expression" dxfId="602" priority="670">
      <formula>ISBLANK(J100)</formula>
    </cfRule>
  </conditionalFormatting>
  <conditionalFormatting sqref="H101">
    <cfRule type="expression" dxfId="601" priority="665">
      <formula>ISBLANK(H100)</formula>
    </cfRule>
    <cfRule type="expression" dxfId="600" priority="666">
      <formula>AND(NOT(ISBLANK(H100)),ISBLANK(H101))</formula>
    </cfRule>
    <cfRule type="expression" dxfId="599" priority="667">
      <formula>ISBLANK($D103)</formula>
    </cfRule>
    <cfRule type="expression" dxfId="598" priority="668">
      <formula>AND(ISNUMBER(G101),G101&lt;H101)</formula>
    </cfRule>
  </conditionalFormatting>
  <conditionalFormatting sqref="J101">
    <cfRule type="expression" dxfId="597" priority="663">
      <formula>AND(NOT(ISBLANK(J100)),ISBLANK(J101))</formula>
    </cfRule>
    <cfRule type="expression" dxfId="596" priority="664">
      <formula>ISBLANK($D103)</formula>
    </cfRule>
  </conditionalFormatting>
  <conditionalFormatting sqref="J108">
    <cfRule type="expression" dxfId="595" priority="601">
      <formula>ISBLANK(J106)</formula>
    </cfRule>
    <cfRule type="expression" dxfId="594" priority="602">
      <formula>ISBLANK($D109)</formula>
    </cfRule>
  </conditionalFormatting>
  <conditionalFormatting sqref="F107">
    <cfRule type="expression" dxfId="593" priority="630">
      <formula>AND(NOT(ISBLANK(F106)),ISBLANK(F107))</formula>
    </cfRule>
    <cfRule type="expression" dxfId="592" priority="631">
      <formula>ISBLANK(F106)</formula>
    </cfRule>
    <cfRule type="expression" dxfId="591" priority="638">
      <formula>ISBLANK($D109)</formula>
    </cfRule>
    <cfRule type="expression" dxfId="590" priority="640">
      <formula>AND(ISNUMBER(E107),E107&lt;F107)</formula>
    </cfRule>
  </conditionalFormatting>
  <conditionalFormatting sqref="F106">
    <cfRule type="expression" dxfId="589" priority="639">
      <formula>ISBLANK($D109)</formula>
    </cfRule>
  </conditionalFormatting>
  <conditionalFormatting sqref="F108:I108">
    <cfRule type="expression" dxfId="588" priority="632">
      <formula>ISBLANK(F106)</formula>
    </cfRule>
    <cfRule type="expression" dxfId="587" priority="637">
      <formula>ISBLANK($D109)</formula>
    </cfRule>
  </conditionalFormatting>
  <conditionalFormatting sqref="G106">
    <cfRule type="expression" dxfId="586" priority="636">
      <formula>ISBLANK($D109)</formula>
    </cfRule>
  </conditionalFormatting>
  <conditionalFormatting sqref="H106">
    <cfRule type="expression" dxfId="585" priority="635">
      <formula>ISBLANK($D109)</formula>
    </cfRule>
  </conditionalFormatting>
  <conditionalFormatting sqref="I106">
    <cfRule type="expression" dxfId="584" priority="634">
      <formula>ISBLANK($D109)</formula>
    </cfRule>
  </conditionalFormatting>
  <conditionalFormatting sqref="J106">
    <cfRule type="expression" dxfId="583" priority="633">
      <formula>ISBLANK($D109)</formula>
    </cfRule>
  </conditionalFormatting>
  <conditionalFormatting sqref="G107">
    <cfRule type="expression" dxfId="582" priority="627">
      <formula>AND(NOT(ISBLANK(G106)),ISBLANK(G107))</formula>
    </cfRule>
    <cfRule type="expression" dxfId="581" priority="628">
      <formula>ISBLANK(G106)</formula>
    </cfRule>
    <cfRule type="expression" dxfId="580" priority="629">
      <formula>AND(ISNUMBER(F107),F107&lt;G107)</formula>
    </cfRule>
  </conditionalFormatting>
  <conditionalFormatting sqref="I107">
    <cfRule type="expression" dxfId="579" priority="624">
      <formula>ISBLANK(I106)</formula>
    </cfRule>
    <cfRule type="expression" dxfId="578" priority="625">
      <formula>ISBLANK($D109)</formula>
    </cfRule>
    <cfRule type="expression" dxfId="577" priority="626">
      <formula>AND(ISNUMBER(H107),H107&lt;I107)</formula>
    </cfRule>
  </conditionalFormatting>
  <conditionalFormatting sqref="F109">
    <cfRule type="expression" dxfId="576" priority="621">
      <formula>AND(NOT(ISBLANK(F106)),ISBLANK(F109))</formula>
    </cfRule>
    <cfRule type="expression" dxfId="575" priority="623">
      <formula>ISBLANK($D109)</formula>
    </cfRule>
  </conditionalFormatting>
  <conditionalFormatting sqref="F109">
    <cfRule type="expression" dxfId="574" priority="622">
      <formula>ISBLANK(F106)</formula>
    </cfRule>
  </conditionalFormatting>
  <conditionalFormatting sqref="G109">
    <cfRule type="expression" dxfId="573" priority="618">
      <formula>AND(NOT(ISBLANK(G106)),ISBLANK(G109))</formula>
    </cfRule>
    <cfRule type="expression" dxfId="572" priority="620">
      <formula>ISBLANK($D109)</formula>
    </cfRule>
  </conditionalFormatting>
  <conditionalFormatting sqref="G109">
    <cfRule type="expression" dxfId="571" priority="619">
      <formula>ISBLANK(G106)</formula>
    </cfRule>
  </conditionalFormatting>
  <conditionalFormatting sqref="I109">
    <cfRule type="expression" dxfId="570" priority="615">
      <formula>AND(NOT(ISBLANK(I106)),ISBLANK(I109))</formula>
    </cfRule>
    <cfRule type="expression" dxfId="569" priority="617">
      <formula>ISBLANK($D109)</formula>
    </cfRule>
  </conditionalFormatting>
  <conditionalFormatting sqref="I109">
    <cfRule type="expression" dxfId="568" priority="616">
      <formula>ISBLANK(I106)</formula>
    </cfRule>
  </conditionalFormatting>
  <conditionalFormatting sqref="H109">
    <cfRule type="expression" dxfId="567" priority="613">
      <formula>ISBLANK(H106)</formula>
    </cfRule>
  </conditionalFormatting>
  <conditionalFormatting sqref="H109">
    <cfRule type="expression" dxfId="566" priority="612">
      <formula>AND(NOT(ISBLANK(H106)),ISBLANK(H109))</formula>
    </cfRule>
    <cfRule type="expression" dxfId="565" priority="614">
      <formula>ISBLANK($D109)</formula>
    </cfRule>
  </conditionalFormatting>
  <conditionalFormatting sqref="J109">
    <cfRule type="expression" dxfId="564" priority="609">
      <formula>AND(NOT(ISBLANK(J106)),ISBLANK(J109))</formula>
    </cfRule>
    <cfRule type="expression" dxfId="563" priority="611">
      <formula>ISBLANK($D109)</formula>
    </cfRule>
  </conditionalFormatting>
  <conditionalFormatting sqref="J109">
    <cfRule type="expression" dxfId="562" priority="610">
      <formula>ISBLANK(J106)</formula>
    </cfRule>
  </conditionalFormatting>
  <conditionalFormatting sqref="H107">
    <cfRule type="expression" dxfId="561" priority="605">
      <formula>ISBLANK(H106)</formula>
    </cfRule>
    <cfRule type="expression" dxfId="560" priority="606">
      <formula>AND(NOT(ISBLANK(H106)),ISBLANK(H107))</formula>
    </cfRule>
    <cfRule type="expression" dxfId="559" priority="607">
      <formula>ISBLANK($D109)</formula>
    </cfRule>
    <cfRule type="expression" dxfId="558" priority="608">
      <formula>AND(ISNUMBER(G107),G107&lt;H107)</formula>
    </cfRule>
  </conditionalFormatting>
  <conditionalFormatting sqref="J107">
    <cfRule type="expression" dxfId="557" priority="603">
      <formula>AND(NOT(ISBLANK(J106)),ISBLANK(J107))</formula>
    </cfRule>
    <cfRule type="expression" dxfId="556" priority="604">
      <formula>ISBLANK($D109)</formula>
    </cfRule>
  </conditionalFormatting>
  <conditionalFormatting sqref="J114">
    <cfRule type="expression" dxfId="555" priority="561">
      <formula>ISBLANK(J112)</formula>
    </cfRule>
    <cfRule type="expression" dxfId="554" priority="562">
      <formula>ISBLANK($D115)</formula>
    </cfRule>
  </conditionalFormatting>
  <conditionalFormatting sqref="F113">
    <cfRule type="expression" dxfId="553" priority="590">
      <formula>AND(NOT(ISBLANK(F112)),ISBLANK(F113))</formula>
    </cfRule>
    <cfRule type="expression" dxfId="552" priority="591">
      <formula>ISBLANK(F112)</formula>
    </cfRule>
    <cfRule type="expression" dxfId="551" priority="598">
      <formula>ISBLANK($D115)</formula>
    </cfRule>
    <cfRule type="expression" dxfId="550" priority="600">
      <formula>AND(ISNUMBER(E113),E113&lt;F113)</formula>
    </cfRule>
  </conditionalFormatting>
  <conditionalFormatting sqref="F112">
    <cfRule type="expression" dxfId="549" priority="599">
      <formula>ISBLANK($D115)</formula>
    </cfRule>
  </conditionalFormatting>
  <conditionalFormatting sqref="F114:I114">
    <cfRule type="expression" dxfId="548" priority="592">
      <formula>ISBLANK(F112)</formula>
    </cfRule>
    <cfRule type="expression" dxfId="547" priority="597">
      <formula>ISBLANK($D115)</formula>
    </cfRule>
  </conditionalFormatting>
  <conditionalFormatting sqref="G112">
    <cfRule type="expression" dxfId="546" priority="596">
      <formula>ISBLANK($D115)</formula>
    </cfRule>
  </conditionalFormatting>
  <conditionalFormatting sqref="H112">
    <cfRule type="expression" dxfId="545" priority="595">
      <formula>ISBLANK($D115)</formula>
    </cfRule>
  </conditionalFormatting>
  <conditionalFormatting sqref="I112">
    <cfRule type="expression" dxfId="544" priority="594">
      <formula>ISBLANK($D115)</formula>
    </cfRule>
  </conditionalFormatting>
  <conditionalFormatting sqref="J112">
    <cfRule type="expression" dxfId="543" priority="593">
      <formula>ISBLANK($D115)</formula>
    </cfRule>
  </conditionalFormatting>
  <conditionalFormatting sqref="G113">
    <cfRule type="expression" dxfId="542" priority="587">
      <formula>AND(NOT(ISBLANK(G112)),ISBLANK(G113))</formula>
    </cfRule>
    <cfRule type="expression" dxfId="541" priority="588">
      <formula>ISBLANK(G112)</formula>
    </cfRule>
    <cfRule type="expression" dxfId="540" priority="589">
      <formula>AND(ISNUMBER(F113),F113&lt;G113)</formula>
    </cfRule>
    <cfRule type="expression" dxfId="539" priority="6011">
      <formula>ISBLANK($D115)</formula>
    </cfRule>
  </conditionalFormatting>
  <conditionalFormatting sqref="I113">
    <cfRule type="expression" dxfId="538" priority="584">
      <formula>ISBLANK(I112)</formula>
    </cfRule>
    <cfRule type="expression" dxfId="537" priority="585">
      <formula>ISBLANK($D115)</formula>
    </cfRule>
    <cfRule type="expression" dxfId="536" priority="586">
      <formula>AND(ISNUMBER(H113),H113&lt;I113)</formula>
    </cfRule>
    <cfRule type="expression" dxfId="535" priority="6012">
      <formula>AND(NOT(ISBLANK(I112)),ISBLANK(I113))</formula>
    </cfRule>
  </conditionalFormatting>
  <conditionalFormatting sqref="F115">
    <cfRule type="expression" dxfId="534" priority="581">
      <formula>AND(NOT(ISBLANK(F112)),ISBLANK(F115))</formula>
    </cfRule>
    <cfRule type="expression" dxfId="533" priority="583">
      <formula>ISBLANK($D115)</formula>
    </cfRule>
  </conditionalFormatting>
  <conditionalFormatting sqref="F115">
    <cfRule type="expression" dxfId="532" priority="582">
      <formula>ISBLANK(F112)</formula>
    </cfRule>
  </conditionalFormatting>
  <conditionalFormatting sqref="G115">
    <cfRule type="expression" dxfId="531" priority="578">
      <formula>AND(NOT(ISBLANK(G112)),ISBLANK(G115))</formula>
    </cfRule>
    <cfRule type="expression" dxfId="530" priority="580">
      <formula>ISBLANK($D115)</formula>
    </cfRule>
  </conditionalFormatting>
  <conditionalFormatting sqref="G115">
    <cfRule type="expression" dxfId="529" priority="579">
      <formula>ISBLANK(G112)</formula>
    </cfRule>
  </conditionalFormatting>
  <conditionalFormatting sqref="I115">
    <cfRule type="expression" dxfId="528" priority="575">
      <formula>AND(NOT(ISBLANK(I112)),ISBLANK(I115))</formula>
    </cfRule>
    <cfRule type="expression" dxfId="527" priority="577">
      <formula>ISBLANK($D115)</formula>
    </cfRule>
  </conditionalFormatting>
  <conditionalFormatting sqref="I115">
    <cfRule type="expression" dxfId="526" priority="576">
      <formula>ISBLANK(I112)</formula>
    </cfRule>
  </conditionalFormatting>
  <conditionalFormatting sqref="H115">
    <cfRule type="expression" dxfId="525" priority="573">
      <formula>ISBLANK(H112)</formula>
    </cfRule>
  </conditionalFormatting>
  <conditionalFormatting sqref="H115">
    <cfRule type="expression" dxfId="524" priority="572">
      <formula>AND(NOT(ISBLANK(H112)),ISBLANK(H115))</formula>
    </cfRule>
    <cfRule type="expression" dxfId="523" priority="574">
      <formula>ISBLANK($D115)</formula>
    </cfRule>
  </conditionalFormatting>
  <conditionalFormatting sqref="J115">
    <cfRule type="expression" dxfId="522" priority="569">
      <formula>AND(NOT(ISBLANK(J112)),ISBLANK(J115))</formula>
    </cfRule>
    <cfRule type="expression" dxfId="521" priority="571">
      <formula>ISBLANK($D115)</formula>
    </cfRule>
  </conditionalFormatting>
  <conditionalFormatting sqref="J115">
    <cfRule type="expression" dxfId="520" priority="570">
      <formula>ISBLANK(J112)</formula>
    </cfRule>
  </conditionalFormatting>
  <conditionalFormatting sqref="H113">
    <cfRule type="expression" dxfId="519" priority="565">
      <formula>ISBLANK(H112)</formula>
    </cfRule>
    <cfRule type="expression" dxfId="518" priority="566">
      <formula>AND(NOT(ISBLANK(H112)),ISBLANK(H113))</formula>
    </cfRule>
    <cfRule type="expression" dxfId="517" priority="567">
      <formula>ISBLANK($D115)</formula>
    </cfRule>
    <cfRule type="expression" dxfId="516" priority="568">
      <formula>AND(ISNUMBER(G113),G113&lt;H113)</formula>
    </cfRule>
  </conditionalFormatting>
  <conditionalFormatting sqref="J113">
    <cfRule type="expression" dxfId="515" priority="563">
      <formula>AND(NOT(ISBLANK(J112)),ISBLANK(J113))</formula>
    </cfRule>
    <cfRule type="expression" dxfId="514" priority="564">
      <formula>ISBLANK($D115)</formula>
    </cfRule>
    <cfRule type="expression" dxfId="513" priority="6013">
      <formula>ISBLANK(J112)</formula>
    </cfRule>
    <cfRule type="expression" dxfId="512" priority="6013">
      <formula>AND(ISNUMBER(I113),I113&lt;J113)</formula>
    </cfRule>
  </conditionalFormatting>
  <conditionalFormatting sqref="J120">
    <cfRule type="expression" dxfId="511" priority="521">
      <formula>ISBLANK(J118)</formula>
    </cfRule>
    <cfRule type="expression" dxfId="510" priority="522">
      <formula>ISBLANK($D121)</formula>
    </cfRule>
  </conditionalFormatting>
  <conditionalFormatting sqref="F119">
    <cfRule type="expression" dxfId="509" priority="550">
      <formula>AND(NOT(ISBLANK(F118)),ISBLANK(F119))</formula>
    </cfRule>
    <cfRule type="expression" dxfId="508" priority="551">
      <formula>ISBLANK(F118)</formula>
    </cfRule>
    <cfRule type="expression" dxfId="507" priority="558">
      <formula>ISBLANK($D121)</formula>
    </cfRule>
    <cfRule type="expression" dxfId="506" priority="560">
      <formula>AND(ISNUMBER(E119),E119&lt;F119)</formula>
    </cfRule>
  </conditionalFormatting>
  <conditionalFormatting sqref="F118">
    <cfRule type="expression" dxfId="505" priority="559">
      <formula>ISBLANK($D121)</formula>
    </cfRule>
  </conditionalFormatting>
  <conditionalFormatting sqref="F120:I120">
    <cfRule type="expression" dxfId="504" priority="552">
      <formula>ISBLANK(F118)</formula>
    </cfRule>
    <cfRule type="expression" dxfId="503" priority="557">
      <formula>ISBLANK($D121)</formula>
    </cfRule>
  </conditionalFormatting>
  <conditionalFormatting sqref="G118">
    <cfRule type="expression" dxfId="502" priority="556">
      <formula>ISBLANK($D121)</formula>
    </cfRule>
  </conditionalFormatting>
  <conditionalFormatting sqref="H118">
    <cfRule type="expression" dxfId="501" priority="555">
      <formula>ISBLANK($D121)</formula>
    </cfRule>
  </conditionalFormatting>
  <conditionalFormatting sqref="I118">
    <cfRule type="expression" dxfId="500" priority="554">
      <formula>ISBLANK($D121)</formula>
    </cfRule>
  </conditionalFormatting>
  <conditionalFormatting sqref="J118">
    <cfRule type="expression" dxfId="499" priority="553">
      <formula>ISBLANK($D121)</formula>
    </cfRule>
  </conditionalFormatting>
  <conditionalFormatting sqref="G119">
    <cfRule type="expression" dxfId="498" priority="547">
      <formula>AND(NOT(ISBLANK(G118)),ISBLANK(G119))</formula>
    </cfRule>
    <cfRule type="expression" dxfId="497" priority="548">
      <formula>ISBLANK(G118)</formula>
    </cfRule>
    <cfRule type="expression" dxfId="496" priority="549">
      <formula>AND(ISNUMBER(F119),F119&lt;G119)</formula>
    </cfRule>
    <cfRule type="expression" dxfId="495" priority="6014">
      <formula>ISBLANK($D121)</formula>
    </cfRule>
  </conditionalFormatting>
  <conditionalFormatting sqref="I119">
    <cfRule type="expression" dxfId="494" priority="544">
      <formula>ISBLANK(I118)</formula>
    </cfRule>
    <cfRule type="expression" dxfId="493" priority="545">
      <formula>ISBLANK($D121)</formula>
    </cfRule>
    <cfRule type="expression" dxfId="492" priority="546">
      <formula>AND(ISNUMBER(H119),H119&lt;I119)</formula>
    </cfRule>
    <cfRule type="expression" dxfId="491" priority="6015">
      <formula>AND(NOT(ISBLANK(I118)),ISBLANK(I119))</formula>
    </cfRule>
  </conditionalFormatting>
  <conditionalFormatting sqref="F121">
    <cfRule type="expression" dxfId="490" priority="541">
      <formula>AND(NOT(ISBLANK(F118)),ISBLANK(F121))</formula>
    </cfRule>
    <cfRule type="expression" dxfId="489" priority="543">
      <formula>ISBLANK($D121)</formula>
    </cfRule>
  </conditionalFormatting>
  <conditionalFormatting sqref="F121">
    <cfRule type="expression" dxfId="488" priority="542">
      <formula>ISBLANK(F118)</formula>
    </cfRule>
  </conditionalFormatting>
  <conditionalFormatting sqref="G121">
    <cfRule type="expression" dxfId="487" priority="538">
      <formula>AND(NOT(ISBLANK(G118)),ISBLANK(G121))</formula>
    </cfRule>
    <cfRule type="expression" dxfId="486" priority="540">
      <formula>ISBLANK($D121)</formula>
    </cfRule>
  </conditionalFormatting>
  <conditionalFormatting sqref="G121">
    <cfRule type="expression" dxfId="485" priority="539">
      <formula>ISBLANK(G118)</formula>
    </cfRule>
  </conditionalFormatting>
  <conditionalFormatting sqref="I121">
    <cfRule type="expression" dxfId="484" priority="535">
      <formula>AND(NOT(ISBLANK(I118)),ISBLANK(I121))</formula>
    </cfRule>
    <cfRule type="expression" dxfId="483" priority="537">
      <formula>ISBLANK($D121)</formula>
    </cfRule>
  </conditionalFormatting>
  <conditionalFormatting sqref="I121">
    <cfRule type="expression" dxfId="482" priority="536">
      <formula>ISBLANK(I118)</formula>
    </cfRule>
  </conditionalFormatting>
  <conditionalFormatting sqref="H121">
    <cfRule type="expression" dxfId="481" priority="533">
      <formula>ISBLANK(H118)</formula>
    </cfRule>
  </conditionalFormatting>
  <conditionalFormatting sqref="H121">
    <cfRule type="expression" dxfId="480" priority="532">
      <formula>AND(NOT(ISBLANK(H118)),ISBLANK(H121))</formula>
    </cfRule>
    <cfRule type="expression" dxfId="479" priority="534">
      <formula>ISBLANK($D121)</formula>
    </cfRule>
  </conditionalFormatting>
  <conditionalFormatting sqref="J121">
    <cfRule type="expression" dxfId="478" priority="529">
      <formula>AND(NOT(ISBLANK(J118)),ISBLANK(J121))</formula>
    </cfRule>
    <cfRule type="expression" dxfId="477" priority="531">
      <formula>ISBLANK($D121)</formula>
    </cfRule>
  </conditionalFormatting>
  <conditionalFormatting sqref="J121">
    <cfRule type="expression" dxfId="476" priority="530">
      <formula>ISBLANK(J118)</formula>
    </cfRule>
  </conditionalFormatting>
  <conditionalFormatting sqref="H119">
    <cfRule type="expression" dxfId="475" priority="525">
      <formula>ISBLANK(H118)</formula>
    </cfRule>
    <cfRule type="expression" dxfId="474" priority="526">
      <formula>AND(NOT(ISBLANK(H118)),ISBLANK(H119))</formula>
    </cfRule>
    <cfRule type="expression" dxfId="473" priority="527">
      <formula>ISBLANK($D121)</formula>
    </cfRule>
    <cfRule type="expression" dxfId="472" priority="528">
      <formula>AND(ISNUMBER(G119),G119&lt;H119)</formula>
    </cfRule>
  </conditionalFormatting>
  <conditionalFormatting sqref="J119">
    <cfRule type="expression" dxfId="471" priority="523">
      <formula>AND(NOT(ISBLANK(J118)),ISBLANK(J119))</formula>
    </cfRule>
    <cfRule type="expression" dxfId="470" priority="524">
      <formula>ISBLANK($D121)</formula>
    </cfRule>
    <cfRule type="expression" dxfId="469" priority="6016">
      <formula>ISBLANK(J118)</formula>
    </cfRule>
    <cfRule type="expression" dxfId="468" priority="6016">
      <formula>AND(ISNUMBER(I119),I119&lt;J119)</formula>
    </cfRule>
  </conditionalFormatting>
  <conditionalFormatting sqref="J126">
    <cfRule type="expression" dxfId="467" priority="481">
      <formula>ISBLANK(J124)</formula>
    </cfRule>
    <cfRule type="expression" dxfId="466" priority="482">
      <formula>ISBLANK($D127)</formula>
    </cfRule>
  </conditionalFormatting>
  <conditionalFormatting sqref="F125">
    <cfRule type="expression" dxfId="465" priority="510">
      <formula>AND(NOT(ISBLANK(F124)),ISBLANK(F125))</formula>
    </cfRule>
    <cfRule type="expression" dxfId="464" priority="511">
      <formula>ISBLANK(F124)</formula>
    </cfRule>
    <cfRule type="expression" dxfId="463" priority="518">
      <formula>ISBLANK($D127)</formula>
    </cfRule>
    <cfRule type="expression" dxfId="462" priority="520">
      <formula>AND(ISNUMBER(E125),E125&lt;F125)</formula>
    </cfRule>
  </conditionalFormatting>
  <conditionalFormatting sqref="F124">
    <cfRule type="expression" dxfId="461" priority="519">
      <formula>ISBLANK($D127)</formula>
    </cfRule>
  </conditionalFormatting>
  <conditionalFormatting sqref="F126:I126">
    <cfRule type="expression" dxfId="460" priority="512">
      <formula>ISBLANK(F124)</formula>
    </cfRule>
    <cfRule type="expression" dxfId="459" priority="517">
      <formula>ISBLANK($D127)</formula>
    </cfRule>
  </conditionalFormatting>
  <conditionalFormatting sqref="G124">
    <cfRule type="expression" dxfId="458" priority="516">
      <formula>ISBLANK($D127)</formula>
    </cfRule>
  </conditionalFormatting>
  <conditionalFormatting sqref="H124">
    <cfRule type="expression" dxfId="457" priority="515">
      <formula>ISBLANK($D127)</formula>
    </cfRule>
  </conditionalFormatting>
  <conditionalFormatting sqref="I124">
    <cfRule type="expression" dxfId="456" priority="514">
      <formula>ISBLANK($D127)</formula>
    </cfRule>
  </conditionalFormatting>
  <conditionalFormatting sqref="J124">
    <cfRule type="expression" dxfId="455" priority="513">
      <formula>ISBLANK($D127)</formula>
    </cfRule>
  </conditionalFormatting>
  <conditionalFormatting sqref="G125">
    <cfRule type="expression" dxfId="454" priority="507">
      <formula>AND(NOT(ISBLANK(G124)),ISBLANK(G125))</formula>
    </cfRule>
    <cfRule type="expression" dxfId="453" priority="508">
      <formula>ISBLANK(G124)</formula>
    </cfRule>
    <cfRule type="expression" dxfId="452" priority="509">
      <formula>AND(ISNUMBER(F125),F125&lt;G125)</formula>
    </cfRule>
    <cfRule type="expression" dxfId="451" priority="6017">
      <formula>ISBLANK($D127)</formula>
    </cfRule>
  </conditionalFormatting>
  <conditionalFormatting sqref="I125">
    <cfRule type="expression" dxfId="450" priority="504">
      <formula>ISBLANK(I124)</formula>
    </cfRule>
    <cfRule type="expression" dxfId="449" priority="505">
      <formula>ISBLANK($D127)</formula>
    </cfRule>
    <cfRule type="expression" dxfId="448" priority="506">
      <formula>AND(ISNUMBER(H125),H125&lt;I125)</formula>
    </cfRule>
    <cfRule type="expression" dxfId="447" priority="6018">
      <formula>AND(NOT(ISBLANK(I124)),ISBLANK(I125))</formula>
    </cfRule>
  </conditionalFormatting>
  <conditionalFormatting sqref="F127">
    <cfRule type="expression" dxfId="446" priority="501">
      <formula>AND(NOT(ISBLANK(F124)),ISBLANK(F127))</formula>
    </cfRule>
    <cfRule type="expression" dxfId="445" priority="503">
      <formula>ISBLANK($D127)</formula>
    </cfRule>
  </conditionalFormatting>
  <conditionalFormatting sqref="F127">
    <cfRule type="expression" dxfId="444" priority="502">
      <formula>ISBLANK(F124)</formula>
    </cfRule>
  </conditionalFormatting>
  <conditionalFormatting sqref="G127">
    <cfRule type="expression" dxfId="443" priority="498">
      <formula>AND(NOT(ISBLANK(G124)),ISBLANK(G127))</formula>
    </cfRule>
    <cfRule type="expression" dxfId="442" priority="500">
      <formula>ISBLANK($D127)</formula>
    </cfRule>
  </conditionalFormatting>
  <conditionalFormatting sqref="G127">
    <cfRule type="expression" dxfId="441" priority="499">
      <formula>ISBLANK(G124)</formula>
    </cfRule>
  </conditionalFormatting>
  <conditionalFormatting sqref="I127">
    <cfRule type="expression" dxfId="440" priority="495">
      <formula>AND(NOT(ISBLANK(I124)),ISBLANK(I127))</formula>
    </cfRule>
    <cfRule type="expression" dxfId="439" priority="497">
      <formula>ISBLANK($D127)</formula>
    </cfRule>
  </conditionalFormatting>
  <conditionalFormatting sqref="I127">
    <cfRule type="expression" dxfId="438" priority="496">
      <formula>ISBLANK(I124)</formula>
    </cfRule>
  </conditionalFormatting>
  <conditionalFormatting sqref="H127">
    <cfRule type="expression" dxfId="437" priority="493">
      <formula>ISBLANK(H124)</formula>
    </cfRule>
  </conditionalFormatting>
  <conditionalFormatting sqref="H127">
    <cfRule type="expression" dxfId="436" priority="492">
      <formula>AND(NOT(ISBLANK(H124)),ISBLANK(H127))</formula>
    </cfRule>
    <cfRule type="expression" dxfId="435" priority="494">
      <formula>ISBLANK($D127)</formula>
    </cfRule>
  </conditionalFormatting>
  <conditionalFormatting sqref="J127">
    <cfRule type="expression" dxfId="434" priority="489">
      <formula>AND(NOT(ISBLANK(J124)),ISBLANK(J127))</formula>
    </cfRule>
    <cfRule type="expression" dxfId="433" priority="491">
      <formula>ISBLANK($D127)</formula>
    </cfRule>
  </conditionalFormatting>
  <conditionalFormatting sqref="J127">
    <cfRule type="expression" dxfId="432" priority="490">
      <formula>ISBLANK(J124)</formula>
    </cfRule>
  </conditionalFormatting>
  <conditionalFormatting sqref="H125">
    <cfRule type="expression" dxfId="431" priority="485">
      <formula>ISBLANK(H124)</formula>
    </cfRule>
    <cfRule type="expression" dxfId="430" priority="486">
      <formula>AND(NOT(ISBLANK(H124)),ISBLANK(H125))</formula>
    </cfRule>
    <cfRule type="expression" dxfId="429" priority="487">
      <formula>ISBLANK($D127)</formula>
    </cfRule>
    <cfRule type="expression" dxfId="428" priority="488">
      <formula>AND(ISNUMBER(G125),G125&lt;H125)</formula>
    </cfRule>
  </conditionalFormatting>
  <conditionalFormatting sqref="J125">
    <cfRule type="expression" dxfId="427" priority="483">
      <formula>AND(NOT(ISBLANK(J124)),ISBLANK(J125))</formula>
    </cfRule>
    <cfRule type="expression" dxfId="426" priority="484">
      <formula>ISBLANK($D127)</formula>
    </cfRule>
    <cfRule type="expression" dxfId="425" priority="6019">
      <formula>ISBLANK(J124)</formula>
    </cfRule>
    <cfRule type="expression" dxfId="424" priority="6019">
      <formula>AND(ISNUMBER(I125),I125&lt;J125)</formula>
    </cfRule>
  </conditionalFormatting>
  <conditionalFormatting sqref="J132">
    <cfRule type="expression" dxfId="423" priority="441">
      <formula>ISBLANK(J130)</formula>
    </cfRule>
    <cfRule type="expression" dxfId="422" priority="442">
      <formula>ISBLANK($D133)</formula>
    </cfRule>
  </conditionalFormatting>
  <conditionalFormatting sqref="F131">
    <cfRule type="expression" dxfId="421" priority="470">
      <formula>AND(NOT(ISBLANK(F130)),ISBLANK(F131))</formula>
    </cfRule>
    <cfRule type="expression" dxfId="420" priority="471">
      <formula>ISBLANK(F130)</formula>
    </cfRule>
    <cfRule type="expression" dxfId="419" priority="478">
      <formula>ISBLANK($D133)</formula>
    </cfRule>
    <cfRule type="expression" dxfId="418" priority="480">
      <formula>AND(ISNUMBER(E131),E131&lt;F131)</formula>
    </cfRule>
  </conditionalFormatting>
  <conditionalFormatting sqref="F130">
    <cfRule type="expression" dxfId="417" priority="479">
      <formula>ISBLANK($D133)</formula>
    </cfRule>
  </conditionalFormatting>
  <conditionalFormatting sqref="F132:I132">
    <cfRule type="expression" dxfId="416" priority="472">
      <formula>ISBLANK(F130)</formula>
    </cfRule>
    <cfRule type="expression" dxfId="415" priority="477">
      <formula>ISBLANK($D133)</formula>
    </cfRule>
  </conditionalFormatting>
  <conditionalFormatting sqref="G130">
    <cfRule type="expression" dxfId="414" priority="476">
      <formula>ISBLANK($D133)</formula>
    </cfRule>
  </conditionalFormatting>
  <conditionalFormatting sqref="H130">
    <cfRule type="expression" dxfId="413" priority="475">
      <formula>ISBLANK($D133)</formula>
    </cfRule>
  </conditionalFormatting>
  <conditionalFormatting sqref="I130">
    <cfRule type="expression" dxfId="412" priority="474">
      <formula>ISBLANK($D133)</formula>
    </cfRule>
  </conditionalFormatting>
  <conditionalFormatting sqref="J130">
    <cfRule type="expression" dxfId="411" priority="473">
      <formula>ISBLANK($D133)</formula>
    </cfRule>
  </conditionalFormatting>
  <conditionalFormatting sqref="G131">
    <cfRule type="expression" dxfId="410" priority="467">
      <formula>AND(NOT(ISBLANK(G130)),ISBLANK(G131))</formula>
    </cfRule>
    <cfRule type="expression" dxfId="409" priority="468">
      <formula>ISBLANK(G130)</formula>
    </cfRule>
    <cfRule type="expression" dxfId="408" priority="469">
      <formula>AND(ISNUMBER(F131),F131&lt;G131)</formula>
    </cfRule>
  </conditionalFormatting>
  <conditionalFormatting sqref="I131">
    <cfRule type="expression" dxfId="407" priority="464">
      <formula>ISBLANK(I130)</formula>
    </cfRule>
    <cfRule type="expression" dxfId="406" priority="465">
      <formula>ISBLANK($D133)</formula>
    </cfRule>
    <cfRule type="expression" dxfId="405" priority="466">
      <formula>AND(ISNUMBER(H131),H131&lt;I131)</formula>
    </cfRule>
  </conditionalFormatting>
  <conditionalFormatting sqref="F133">
    <cfRule type="expression" dxfId="404" priority="461">
      <formula>AND(NOT(ISBLANK(F130)),ISBLANK(F133))</formula>
    </cfRule>
    <cfRule type="expression" dxfId="403" priority="463">
      <formula>ISBLANK($D133)</formula>
    </cfRule>
  </conditionalFormatting>
  <conditionalFormatting sqref="F133">
    <cfRule type="expression" dxfId="402" priority="462">
      <formula>ISBLANK(F130)</formula>
    </cfRule>
  </conditionalFormatting>
  <conditionalFormatting sqref="G133">
    <cfRule type="expression" dxfId="401" priority="458">
      <formula>AND(NOT(ISBLANK(G130)),ISBLANK(G133))</formula>
    </cfRule>
    <cfRule type="expression" dxfId="400" priority="460">
      <formula>ISBLANK($D133)</formula>
    </cfRule>
  </conditionalFormatting>
  <conditionalFormatting sqref="G133">
    <cfRule type="expression" dxfId="399" priority="459">
      <formula>ISBLANK(G130)</formula>
    </cfRule>
  </conditionalFormatting>
  <conditionalFormatting sqref="I133">
    <cfRule type="expression" dxfId="398" priority="455">
      <formula>AND(NOT(ISBLANK(I130)),ISBLANK(I133))</formula>
    </cfRule>
    <cfRule type="expression" dxfId="397" priority="457">
      <formula>ISBLANK($D133)</formula>
    </cfRule>
  </conditionalFormatting>
  <conditionalFormatting sqref="I133">
    <cfRule type="expression" dxfId="396" priority="456">
      <formula>ISBLANK(I130)</formula>
    </cfRule>
  </conditionalFormatting>
  <conditionalFormatting sqref="H133">
    <cfRule type="expression" dxfId="395" priority="453">
      <formula>ISBLANK(H130)</formula>
    </cfRule>
  </conditionalFormatting>
  <conditionalFormatting sqref="H133">
    <cfRule type="expression" dxfId="394" priority="452">
      <formula>AND(NOT(ISBLANK(H130)),ISBLANK(H133))</formula>
    </cfRule>
    <cfRule type="expression" dxfId="393" priority="454">
      <formula>ISBLANK($D133)</formula>
    </cfRule>
  </conditionalFormatting>
  <conditionalFormatting sqref="J133">
    <cfRule type="expression" dxfId="392" priority="449">
      <formula>AND(NOT(ISBLANK(J130)),ISBLANK(J133))</formula>
    </cfRule>
    <cfRule type="expression" dxfId="391" priority="451">
      <formula>ISBLANK($D133)</formula>
    </cfRule>
  </conditionalFormatting>
  <conditionalFormatting sqref="J133">
    <cfRule type="expression" dxfId="390" priority="450">
      <formula>ISBLANK(J130)</formula>
    </cfRule>
  </conditionalFormatting>
  <conditionalFormatting sqref="H131">
    <cfRule type="expression" dxfId="389" priority="445">
      <formula>ISBLANK(H130)</formula>
    </cfRule>
    <cfRule type="expression" dxfId="388" priority="446">
      <formula>AND(NOT(ISBLANK(H130)),ISBLANK(H131))</formula>
    </cfRule>
    <cfRule type="expression" dxfId="387" priority="447">
      <formula>ISBLANK($D133)</formula>
    </cfRule>
    <cfRule type="expression" dxfId="386" priority="448">
      <formula>AND(ISNUMBER(G131),G131&lt;H131)</formula>
    </cfRule>
  </conditionalFormatting>
  <conditionalFormatting sqref="J131">
    <cfRule type="expression" dxfId="385" priority="443">
      <formula>AND(NOT(ISBLANK(J130)),ISBLANK(J131))</formula>
    </cfRule>
    <cfRule type="expression" dxfId="384" priority="444">
      <formula>ISBLANK($D133)</formula>
    </cfRule>
  </conditionalFormatting>
  <conditionalFormatting sqref="J138">
    <cfRule type="expression" dxfId="383" priority="381">
      <formula>ISBLANK(J136)</formula>
    </cfRule>
    <cfRule type="expression" dxfId="382" priority="382">
      <formula>ISBLANK($D139)</formula>
    </cfRule>
  </conditionalFormatting>
  <conditionalFormatting sqref="F137">
    <cfRule type="expression" dxfId="381" priority="410">
      <formula>AND(NOT(ISBLANK(F136)),ISBLANK(F137))</formula>
    </cfRule>
    <cfRule type="expression" dxfId="380" priority="411">
      <formula>ISBLANK(F136)</formula>
    </cfRule>
    <cfRule type="expression" dxfId="379" priority="418">
      <formula>ISBLANK($D139)</formula>
    </cfRule>
    <cfRule type="expression" dxfId="378" priority="420">
      <formula>AND(ISNUMBER(E137),E137&lt;F137)</formula>
    </cfRule>
  </conditionalFormatting>
  <conditionalFormatting sqref="F136">
    <cfRule type="expression" dxfId="377" priority="419">
      <formula>ISBLANK($D139)</formula>
    </cfRule>
  </conditionalFormatting>
  <conditionalFormatting sqref="F138:I138">
    <cfRule type="expression" dxfId="376" priority="412">
      <formula>ISBLANK(F136)</formula>
    </cfRule>
    <cfRule type="expression" dxfId="375" priority="417">
      <formula>ISBLANK($D139)</formula>
    </cfRule>
  </conditionalFormatting>
  <conditionalFormatting sqref="G136">
    <cfRule type="expression" dxfId="374" priority="416">
      <formula>ISBLANK($D139)</formula>
    </cfRule>
  </conditionalFormatting>
  <conditionalFormatting sqref="H136">
    <cfRule type="expression" dxfId="373" priority="415">
      <formula>ISBLANK($D139)</formula>
    </cfRule>
  </conditionalFormatting>
  <conditionalFormatting sqref="I136">
    <cfRule type="expression" dxfId="372" priority="414">
      <formula>ISBLANK($D139)</formula>
    </cfRule>
  </conditionalFormatting>
  <conditionalFormatting sqref="J136">
    <cfRule type="expression" dxfId="371" priority="413">
      <formula>ISBLANK($D139)</formula>
    </cfRule>
  </conditionalFormatting>
  <conditionalFormatting sqref="G137">
    <cfRule type="expression" dxfId="370" priority="407">
      <formula>AND(NOT(ISBLANK(G136)),ISBLANK(G137))</formula>
    </cfRule>
    <cfRule type="expression" dxfId="369" priority="408">
      <formula>ISBLANK(G136)</formula>
    </cfRule>
    <cfRule type="expression" dxfId="368" priority="409">
      <formula>AND(ISNUMBER(F137),F137&lt;G137)</formula>
    </cfRule>
  </conditionalFormatting>
  <conditionalFormatting sqref="I137">
    <cfRule type="expression" dxfId="367" priority="404">
      <formula>ISBLANK(I136)</formula>
    </cfRule>
    <cfRule type="expression" dxfId="366" priority="405">
      <formula>ISBLANK($D139)</formula>
    </cfRule>
    <cfRule type="expression" dxfId="365" priority="406">
      <formula>AND(ISNUMBER(H137),H137&lt;I137)</formula>
    </cfRule>
  </conditionalFormatting>
  <conditionalFormatting sqref="F139">
    <cfRule type="expression" dxfId="364" priority="401">
      <formula>AND(NOT(ISBLANK(F136)),ISBLANK(F139))</formula>
    </cfRule>
    <cfRule type="expression" dxfId="363" priority="403">
      <formula>ISBLANK($D139)</formula>
    </cfRule>
  </conditionalFormatting>
  <conditionalFormatting sqref="F139">
    <cfRule type="expression" dxfId="362" priority="402">
      <formula>ISBLANK(F136)</formula>
    </cfRule>
  </conditionalFormatting>
  <conditionalFormatting sqref="G139">
    <cfRule type="expression" dxfId="361" priority="398">
      <formula>AND(NOT(ISBLANK(G136)),ISBLANK(G139))</formula>
    </cfRule>
    <cfRule type="expression" dxfId="360" priority="400">
      <formula>ISBLANK($D139)</formula>
    </cfRule>
  </conditionalFormatting>
  <conditionalFormatting sqref="G139">
    <cfRule type="expression" dxfId="359" priority="399">
      <formula>ISBLANK(G136)</formula>
    </cfRule>
  </conditionalFormatting>
  <conditionalFormatting sqref="I139">
    <cfRule type="expression" dxfId="358" priority="395">
      <formula>AND(NOT(ISBLANK(I136)),ISBLANK(I139))</formula>
    </cfRule>
    <cfRule type="expression" dxfId="357" priority="397">
      <formula>ISBLANK($D139)</formula>
    </cfRule>
  </conditionalFormatting>
  <conditionalFormatting sqref="I139">
    <cfRule type="expression" dxfId="356" priority="396">
      <formula>ISBLANK(I136)</formula>
    </cfRule>
  </conditionalFormatting>
  <conditionalFormatting sqref="H139">
    <cfRule type="expression" dxfId="355" priority="393">
      <formula>ISBLANK(H136)</formula>
    </cfRule>
  </conditionalFormatting>
  <conditionalFormatting sqref="H139">
    <cfRule type="expression" dxfId="354" priority="392">
      <formula>AND(NOT(ISBLANK(H136)),ISBLANK(H139))</formula>
    </cfRule>
    <cfRule type="expression" dxfId="353" priority="394">
      <formula>ISBLANK($D139)</formula>
    </cfRule>
  </conditionalFormatting>
  <conditionalFormatting sqref="J139">
    <cfRule type="expression" dxfId="352" priority="389">
      <formula>AND(NOT(ISBLANK(J136)),ISBLANK(J139))</formula>
    </cfRule>
    <cfRule type="expression" dxfId="351" priority="391">
      <formula>ISBLANK($D139)</formula>
    </cfRule>
  </conditionalFormatting>
  <conditionalFormatting sqref="J139">
    <cfRule type="expression" dxfId="350" priority="390">
      <formula>ISBLANK(J136)</formula>
    </cfRule>
  </conditionalFormatting>
  <conditionalFormatting sqref="H137">
    <cfRule type="expression" dxfId="349" priority="385">
      <formula>ISBLANK(H136)</formula>
    </cfRule>
    <cfRule type="expression" dxfId="348" priority="386">
      <formula>AND(NOT(ISBLANK(H136)),ISBLANK(H137))</formula>
    </cfRule>
    <cfRule type="expression" dxfId="347" priority="387">
      <formula>ISBLANK($D139)</formula>
    </cfRule>
    <cfRule type="expression" dxfId="346" priority="388">
      <formula>AND(ISNUMBER(G137),G137&lt;H137)</formula>
    </cfRule>
  </conditionalFormatting>
  <conditionalFormatting sqref="J137">
    <cfRule type="expression" dxfId="345" priority="383">
      <formula>AND(NOT(ISBLANK(J136)),ISBLANK(J137))</formula>
    </cfRule>
    <cfRule type="expression" dxfId="344" priority="384">
      <formula>ISBLANK($D139)</formula>
    </cfRule>
  </conditionalFormatting>
  <conditionalFormatting sqref="J144">
    <cfRule type="expression" dxfId="343" priority="341">
      <formula>ISBLANK(J142)</formula>
    </cfRule>
    <cfRule type="expression" dxfId="342" priority="342">
      <formula>ISBLANK($D145)</formula>
    </cfRule>
  </conditionalFormatting>
  <conditionalFormatting sqref="F143">
    <cfRule type="expression" dxfId="341" priority="370">
      <formula>AND(NOT(ISBLANK(F142)),ISBLANK(F143))</formula>
    </cfRule>
    <cfRule type="expression" dxfId="340" priority="371">
      <formula>ISBLANK(F142)</formula>
    </cfRule>
    <cfRule type="expression" dxfId="339" priority="378">
      <formula>ISBLANK($D145)</formula>
    </cfRule>
    <cfRule type="expression" dxfId="338" priority="380">
      <formula>AND(ISNUMBER(E143),E143&lt;F143)</formula>
    </cfRule>
  </conditionalFormatting>
  <conditionalFormatting sqref="F142">
    <cfRule type="expression" dxfId="337" priority="379">
      <formula>ISBLANK($D145)</formula>
    </cfRule>
  </conditionalFormatting>
  <conditionalFormatting sqref="F144:I144">
    <cfRule type="expression" dxfId="336" priority="372">
      <formula>ISBLANK(F142)</formula>
    </cfRule>
    <cfRule type="expression" dxfId="335" priority="377">
      <formula>ISBLANK($D145)</formula>
    </cfRule>
  </conditionalFormatting>
  <conditionalFormatting sqref="G142">
    <cfRule type="expression" dxfId="334" priority="376">
      <formula>ISBLANK($D145)</formula>
    </cfRule>
  </conditionalFormatting>
  <conditionalFormatting sqref="H142">
    <cfRule type="expression" dxfId="333" priority="375">
      <formula>ISBLANK($D145)</formula>
    </cfRule>
  </conditionalFormatting>
  <conditionalFormatting sqref="I142">
    <cfRule type="expression" dxfId="332" priority="374">
      <formula>ISBLANK($D145)</formula>
    </cfRule>
  </conditionalFormatting>
  <conditionalFormatting sqref="J142">
    <cfRule type="expression" dxfId="331" priority="373">
      <formula>ISBLANK($D145)</formula>
    </cfRule>
  </conditionalFormatting>
  <conditionalFormatting sqref="G143">
    <cfRule type="expression" dxfId="330" priority="367">
      <formula>AND(NOT(ISBLANK(G142)),ISBLANK(G143))</formula>
    </cfRule>
    <cfRule type="expression" dxfId="329" priority="368">
      <formula>ISBLANK(G142)</formula>
    </cfRule>
    <cfRule type="expression" dxfId="328" priority="369">
      <formula>AND(ISNUMBER(F143),F143&lt;G143)</formula>
    </cfRule>
    <cfRule type="expression" dxfId="327" priority="6020">
      <formula>ISBLANK($D145)</formula>
    </cfRule>
  </conditionalFormatting>
  <conditionalFormatting sqref="I143">
    <cfRule type="expression" dxfId="326" priority="364">
      <formula>ISBLANK(I142)</formula>
    </cfRule>
    <cfRule type="expression" dxfId="325" priority="365">
      <formula>ISBLANK($D145)</formula>
    </cfRule>
    <cfRule type="expression" dxfId="324" priority="366">
      <formula>AND(ISNUMBER(H143),H143&lt;I143)</formula>
    </cfRule>
    <cfRule type="expression" dxfId="323" priority="6021">
      <formula>AND(NOT(ISBLANK(I142)),ISBLANK(I143))</formula>
    </cfRule>
  </conditionalFormatting>
  <conditionalFormatting sqref="F145">
    <cfRule type="expression" dxfId="322" priority="361">
      <formula>AND(NOT(ISBLANK(F142)),ISBLANK(F145))</formula>
    </cfRule>
    <cfRule type="expression" dxfId="321" priority="363">
      <formula>ISBLANK($D145)</formula>
    </cfRule>
  </conditionalFormatting>
  <conditionalFormatting sqref="F145">
    <cfRule type="expression" dxfId="320" priority="362">
      <formula>ISBLANK(F142)</formula>
    </cfRule>
  </conditionalFormatting>
  <conditionalFormatting sqref="G145">
    <cfRule type="expression" dxfId="319" priority="358">
      <formula>AND(NOT(ISBLANK(G142)),ISBLANK(G145))</formula>
    </cfRule>
    <cfRule type="expression" dxfId="318" priority="360">
      <formula>ISBLANK($D145)</formula>
    </cfRule>
  </conditionalFormatting>
  <conditionalFormatting sqref="G145">
    <cfRule type="expression" dxfId="317" priority="359">
      <formula>ISBLANK(G142)</formula>
    </cfRule>
  </conditionalFormatting>
  <conditionalFormatting sqref="I145">
    <cfRule type="expression" dxfId="316" priority="355">
      <formula>AND(NOT(ISBLANK(I142)),ISBLANK(I145))</formula>
    </cfRule>
    <cfRule type="expression" dxfId="315" priority="357">
      <formula>ISBLANK($D145)</formula>
    </cfRule>
  </conditionalFormatting>
  <conditionalFormatting sqref="I145">
    <cfRule type="expression" dxfId="314" priority="356">
      <formula>ISBLANK(I142)</formula>
    </cfRule>
  </conditionalFormatting>
  <conditionalFormatting sqref="H145">
    <cfRule type="expression" dxfId="313" priority="353">
      <formula>ISBLANK(H142)</formula>
    </cfRule>
  </conditionalFormatting>
  <conditionalFormatting sqref="H145">
    <cfRule type="expression" dxfId="312" priority="352">
      <formula>AND(NOT(ISBLANK(H142)),ISBLANK(H145))</formula>
    </cfRule>
    <cfRule type="expression" dxfId="311" priority="354">
      <formula>ISBLANK($D145)</formula>
    </cfRule>
  </conditionalFormatting>
  <conditionalFormatting sqref="J145">
    <cfRule type="expression" dxfId="310" priority="349">
      <formula>AND(NOT(ISBLANK(J142)),ISBLANK(J145))</formula>
    </cfRule>
    <cfRule type="expression" dxfId="309" priority="351">
      <formula>ISBLANK($D145)</formula>
    </cfRule>
  </conditionalFormatting>
  <conditionalFormatting sqref="J145">
    <cfRule type="expression" dxfId="308" priority="350">
      <formula>ISBLANK(J142)</formula>
    </cfRule>
  </conditionalFormatting>
  <conditionalFormatting sqref="H143">
    <cfRule type="expression" dxfId="307" priority="345">
      <formula>ISBLANK(H142)</formula>
    </cfRule>
    <cfRule type="expression" dxfId="306" priority="346">
      <formula>AND(NOT(ISBLANK(H142)),ISBLANK(H143))</formula>
    </cfRule>
    <cfRule type="expression" dxfId="305" priority="347">
      <formula>ISBLANK($D145)</formula>
    </cfRule>
    <cfRule type="expression" dxfId="304" priority="348">
      <formula>AND(ISNUMBER(G143),G143&lt;H143)</formula>
    </cfRule>
  </conditionalFormatting>
  <conditionalFormatting sqref="J143">
    <cfRule type="expression" dxfId="303" priority="343">
      <formula>AND(NOT(ISBLANK(J142)),ISBLANK(J143))</formula>
    </cfRule>
    <cfRule type="expression" dxfId="302" priority="344">
      <formula>ISBLANK($D145)</formula>
    </cfRule>
    <cfRule type="expression" dxfId="301" priority="6022">
      <formula>ISBLANK(J142)</formula>
    </cfRule>
    <cfRule type="expression" dxfId="300" priority="6022">
      <formula>AND(ISNUMBER(I143),I143&lt;J143)</formula>
    </cfRule>
  </conditionalFormatting>
  <conditionalFormatting sqref="J150">
    <cfRule type="expression" dxfId="299" priority="301">
      <formula>ISBLANK(J148)</formula>
    </cfRule>
    <cfRule type="expression" dxfId="298" priority="302">
      <formula>ISBLANK($D151)</formula>
    </cfRule>
  </conditionalFormatting>
  <conditionalFormatting sqref="F149">
    <cfRule type="expression" dxfId="297" priority="330">
      <formula>AND(NOT(ISBLANK(F148)),ISBLANK(F149))</formula>
    </cfRule>
    <cfRule type="expression" dxfId="296" priority="331">
      <formula>ISBLANK(F148)</formula>
    </cfRule>
    <cfRule type="expression" dxfId="295" priority="338">
      <formula>ISBLANK($D151)</formula>
    </cfRule>
    <cfRule type="expression" dxfId="294" priority="340">
      <formula>AND(ISNUMBER(E149),E149&lt;F149)</formula>
    </cfRule>
  </conditionalFormatting>
  <conditionalFormatting sqref="F148">
    <cfRule type="expression" dxfId="293" priority="339">
      <formula>ISBLANK($D151)</formula>
    </cfRule>
  </conditionalFormatting>
  <conditionalFormatting sqref="F150:I150">
    <cfRule type="expression" dxfId="292" priority="332">
      <formula>ISBLANK(F148)</formula>
    </cfRule>
    <cfRule type="expression" dxfId="291" priority="337">
      <formula>ISBLANK($D151)</formula>
    </cfRule>
  </conditionalFormatting>
  <conditionalFormatting sqref="G148">
    <cfRule type="expression" dxfId="290" priority="336">
      <formula>ISBLANK($D151)</formula>
    </cfRule>
  </conditionalFormatting>
  <conditionalFormatting sqref="H148">
    <cfRule type="expression" dxfId="289" priority="335">
      <formula>ISBLANK($D151)</formula>
    </cfRule>
  </conditionalFormatting>
  <conditionalFormatting sqref="I148">
    <cfRule type="expression" dxfId="288" priority="334">
      <formula>ISBLANK($D151)</formula>
    </cfRule>
  </conditionalFormatting>
  <conditionalFormatting sqref="J148">
    <cfRule type="expression" dxfId="287" priority="333">
      <formula>ISBLANK($D151)</formula>
    </cfRule>
  </conditionalFormatting>
  <conditionalFormatting sqref="G149">
    <cfRule type="expression" dxfId="286" priority="327">
      <formula>AND(NOT(ISBLANK(G148)),ISBLANK(G149))</formula>
    </cfRule>
    <cfRule type="expression" dxfId="285" priority="328">
      <formula>ISBLANK(G148)</formula>
    </cfRule>
    <cfRule type="expression" dxfId="284" priority="329">
      <formula>AND(ISNUMBER(F149),F149&lt;G149)</formula>
    </cfRule>
    <cfRule type="expression" dxfId="283" priority="6023">
      <formula>ISBLANK($D151)</formula>
    </cfRule>
  </conditionalFormatting>
  <conditionalFormatting sqref="I149">
    <cfRule type="expression" dxfId="282" priority="324">
      <formula>ISBLANK(I148)</formula>
    </cfRule>
    <cfRule type="expression" dxfId="281" priority="325">
      <formula>ISBLANK($D151)</formula>
    </cfRule>
    <cfRule type="expression" dxfId="280" priority="326">
      <formula>AND(ISNUMBER(H149),H149&lt;I149)</formula>
    </cfRule>
    <cfRule type="expression" dxfId="279" priority="6024">
      <formula>AND(NOT(ISBLANK(I148)),ISBLANK(I149))</formula>
    </cfRule>
  </conditionalFormatting>
  <conditionalFormatting sqref="F151">
    <cfRule type="expression" dxfId="278" priority="321">
      <formula>AND(NOT(ISBLANK(F148)),ISBLANK(F151))</formula>
    </cfRule>
    <cfRule type="expression" dxfId="277" priority="323">
      <formula>ISBLANK($D151)</formula>
    </cfRule>
  </conditionalFormatting>
  <conditionalFormatting sqref="F151">
    <cfRule type="expression" dxfId="276" priority="322">
      <formula>ISBLANK(F148)</formula>
    </cfRule>
  </conditionalFormatting>
  <conditionalFormatting sqref="G151">
    <cfRule type="expression" dxfId="275" priority="318">
      <formula>AND(NOT(ISBLANK(G148)),ISBLANK(G151))</formula>
    </cfRule>
    <cfRule type="expression" dxfId="274" priority="320">
      <formula>ISBLANK($D151)</formula>
    </cfRule>
  </conditionalFormatting>
  <conditionalFormatting sqref="G151">
    <cfRule type="expression" dxfId="273" priority="319">
      <formula>ISBLANK(G148)</formula>
    </cfRule>
  </conditionalFormatting>
  <conditionalFormatting sqref="I151">
    <cfRule type="expression" dxfId="272" priority="315">
      <formula>AND(NOT(ISBLANK(I148)),ISBLANK(I151))</formula>
    </cfRule>
    <cfRule type="expression" dxfId="271" priority="317">
      <formula>ISBLANK($D151)</formula>
    </cfRule>
  </conditionalFormatting>
  <conditionalFormatting sqref="I151">
    <cfRule type="expression" dxfId="270" priority="316">
      <formula>ISBLANK(I148)</formula>
    </cfRule>
  </conditionalFormatting>
  <conditionalFormatting sqref="H151">
    <cfRule type="expression" dxfId="269" priority="313">
      <formula>ISBLANK(H148)</formula>
    </cfRule>
  </conditionalFormatting>
  <conditionalFormatting sqref="H151">
    <cfRule type="expression" dxfId="268" priority="312">
      <formula>AND(NOT(ISBLANK(H148)),ISBLANK(H151))</formula>
    </cfRule>
    <cfRule type="expression" dxfId="267" priority="314">
      <formula>ISBLANK($D151)</formula>
    </cfRule>
  </conditionalFormatting>
  <conditionalFormatting sqref="J151">
    <cfRule type="expression" dxfId="266" priority="309">
      <formula>AND(NOT(ISBLANK(J148)),ISBLANK(J151))</formula>
    </cfRule>
    <cfRule type="expression" dxfId="265" priority="311">
      <formula>ISBLANK($D151)</formula>
    </cfRule>
  </conditionalFormatting>
  <conditionalFormatting sqref="J151">
    <cfRule type="expression" dxfId="264" priority="310">
      <formula>ISBLANK(J148)</formula>
    </cfRule>
  </conditionalFormatting>
  <conditionalFormatting sqref="H149">
    <cfRule type="expression" dxfId="263" priority="305">
      <formula>ISBLANK(H148)</formula>
    </cfRule>
    <cfRule type="expression" dxfId="262" priority="306">
      <formula>AND(NOT(ISBLANK(H148)),ISBLANK(H149))</formula>
    </cfRule>
    <cfRule type="expression" dxfId="261" priority="307">
      <formula>ISBLANK($D151)</formula>
    </cfRule>
    <cfRule type="expression" dxfId="260" priority="308">
      <formula>AND(ISNUMBER(G149),G149&lt;H149)</formula>
    </cfRule>
  </conditionalFormatting>
  <conditionalFormatting sqref="J149">
    <cfRule type="expression" dxfId="259" priority="303">
      <formula>AND(NOT(ISBLANK(J148)),ISBLANK(J149))</formula>
    </cfRule>
    <cfRule type="expression" dxfId="258" priority="304">
      <formula>ISBLANK($D151)</formula>
    </cfRule>
    <cfRule type="expression" dxfId="257" priority="6025">
      <formula>ISBLANK(J148)</formula>
    </cfRule>
    <cfRule type="expression" dxfId="256" priority="6025">
      <formula>AND(ISNUMBER(I149),I149&lt;J149)</formula>
    </cfRule>
  </conditionalFormatting>
  <conditionalFormatting sqref="J156">
    <cfRule type="expression" dxfId="255" priority="261">
      <formula>ISBLANK(J154)</formula>
    </cfRule>
    <cfRule type="expression" dxfId="254" priority="262">
      <formula>ISBLANK($D157)</formula>
    </cfRule>
  </conditionalFormatting>
  <conditionalFormatting sqref="F155">
    <cfRule type="expression" dxfId="253" priority="290">
      <formula>AND(NOT(ISBLANK(F154)),ISBLANK(F155))</formula>
    </cfRule>
    <cfRule type="expression" dxfId="252" priority="291">
      <formula>ISBLANK(F154)</formula>
    </cfRule>
    <cfRule type="expression" dxfId="251" priority="298">
      <formula>ISBLANK($D157)</formula>
    </cfRule>
    <cfRule type="expression" dxfId="250" priority="300">
      <formula>AND(ISNUMBER(E155),E155&lt;F155)</formula>
    </cfRule>
  </conditionalFormatting>
  <conditionalFormatting sqref="F154">
    <cfRule type="expression" dxfId="249" priority="299">
      <formula>ISBLANK($D157)</formula>
    </cfRule>
  </conditionalFormatting>
  <conditionalFormatting sqref="F156:I156">
    <cfRule type="expression" dxfId="248" priority="292">
      <formula>ISBLANK(F154)</formula>
    </cfRule>
    <cfRule type="expression" dxfId="247" priority="297">
      <formula>ISBLANK($D157)</formula>
    </cfRule>
  </conditionalFormatting>
  <conditionalFormatting sqref="G154">
    <cfRule type="expression" dxfId="246" priority="296">
      <formula>ISBLANK($D157)</formula>
    </cfRule>
  </conditionalFormatting>
  <conditionalFormatting sqref="H154">
    <cfRule type="expression" dxfId="245" priority="295">
      <formula>ISBLANK($D157)</formula>
    </cfRule>
  </conditionalFormatting>
  <conditionalFormatting sqref="I154">
    <cfRule type="expression" dxfId="244" priority="294">
      <formula>ISBLANK($D157)</formula>
    </cfRule>
  </conditionalFormatting>
  <conditionalFormatting sqref="J154">
    <cfRule type="expression" dxfId="243" priority="293">
      <formula>ISBLANK($D157)</formula>
    </cfRule>
  </conditionalFormatting>
  <conditionalFormatting sqref="G155">
    <cfRule type="expression" dxfId="242" priority="287">
      <formula>AND(NOT(ISBLANK(G154)),ISBLANK(G155))</formula>
    </cfRule>
    <cfRule type="expression" dxfId="241" priority="288">
      <formula>ISBLANK(G154)</formula>
    </cfRule>
    <cfRule type="expression" dxfId="240" priority="289">
      <formula>AND(ISNUMBER(F155),F155&lt;G155)</formula>
    </cfRule>
    <cfRule type="expression" dxfId="239" priority="6026">
      <formula>ISBLANK($D157)</formula>
    </cfRule>
  </conditionalFormatting>
  <conditionalFormatting sqref="I155">
    <cfRule type="expression" dxfId="238" priority="284">
      <formula>ISBLANK(I154)</formula>
    </cfRule>
    <cfRule type="expression" dxfId="237" priority="285">
      <formula>ISBLANK($D157)</formula>
    </cfRule>
    <cfRule type="expression" dxfId="236" priority="286">
      <formula>AND(ISNUMBER(H155),H155&lt;I155)</formula>
    </cfRule>
    <cfRule type="expression" dxfId="235" priority="6027">
      <formula>AND(NOT(ISBLANK(I154)),ISBLANK(I155))</formula>
    </cfRule>
  </conditionalFormatting>
  <conditionalFormatting sqref="F157">
    <cfRule type="expression" dxfId="234" priority="281">
      <formula>AND(NOT(ISBLANK(F154)),ISBLANK(F157))</formula>
    </cfRule>
    <cfRule type="expression" dxfId="233" priority="283">
      <formula>ISBLANK($D157)</formula>
    </cfRule>
  </conditionalFormatting>
  <conditionalFormatting sqref="F157">
    <cfRule type="expression" dxfId="232" priority="282">
      <formula>ISBLANK(F154)</formula>
    </cfRule>
  </conditionalFormatting>
  <conditionalFormatting sqref="G157">
    <cfRule type="expression" dxfId="231" priority="278">
      <formula>AND(NOT(ISBLANK(G154)),ISBLANK(G157))</formula>
    </cfRule>
    <cfRule type="expression" dxfId="230" priority="280">
      <formula>ISBLANK($D157)</formula>
    </cfRule>
  </conditionalFormatting>
  <conditionalFormatting sqref="G157">
    <cfRule type="expression" dxfId="229" priority="279">
      <formula>ISBLANK(G154)</formula>
    </cfRule>
  </conditionalFormatting>
  <conditionalFormatting sqref="I157">
    <cfRule type="expression" dxfId="228" priority="275">
      <formula>AND(NOT(ISBLANK(I154)),ISBLANK(I157))</formula>
    </cfRule>
    <cfRule type="expression" dxfId="227" priority="277">
      <formula>ISBLANK($D157)</formula>
    </cfRule>
  </conditionalFormatting>
  <conditionalFormatting sqref="I157">
    <cfRule type="expression" dxfId="226" priority="276">
      <formula>ISBLANK(I154)</formula>
    </cfRule>
  </conditionalFormatting>
  <conditionalFormatting sqref="H157">
    <cfRule type="expression" dxfId="225" priority="273">
      <formula>ISBLANK(H154)</formula>
    </cfRule>
  </conditionalFormatting>
  <conditionalFormatting sqref="H157">
    <cfRule type="expression" dxfId="224" priority="272">
      <formula>AND(NOT(ISBLANK(H154)),ISBLANK(H157))</formula>
    </cfRule>
    <cfRule type="expression" dxfId="223" priority="274">
      <formula>ISBLANK($D157)</formula>
    </cfRule>
  </conditionalFormatting>
  <conditionalFormatting sqref="J157">
    <cfRule type="expression" dxfId="222" priority="269">
      <formula>AND(NOT(ISBLANK(J154)),ISBLANK(J157))</formula>
    </cfRule>
    <cfRule type="expression" dxfId="221" priority="271">
      <formula>ISBLANK($D157)</formula>
    </cfRule>
  </conditionalFormatting>
  <conditionalFormatting sqref="J157">
    <cfRule type="expression" dxfId="220" priority="270">
      <formula>ISBLANK(J154)</formula>
    </cfRule>
  </conditionalFormatting>
  <conditionalFormatting sqref="H155">
    <cfRule type="expression" dxfId="219" priority="265">
      <formula>ISBLANK(H154)</formula>
    </cfRule>
    <cfRule type="expression" dxfId="218" priority="266">
      <formula>AND(NOT(ISBLANK(H154)),ISBLANK(H155))</formula>
    </cfRule>
    <cfRule type="expression" dxfId="217" priority="267">
      <formula>ISBLANK($D157)</formula>
    </cfRule>
    <cfRule type="expression" dxfId="216" priority="268">
      <formula>AND(ISNUMBER(G155),G155&lt;H155)</formula>
    </cfRule>
  </conditionalFormatting>
  <conditionalFormatting sqref="J155">
    <cfRule type="expression" dxfId="215" priority="263">
      <formula>AND(NOT(ISBLANK(J154)),ISBLANK(J155))</formula>
    </cfRule>
    <cfRule type="expression" dxfId="214" priority="264">
      <formula>ISBLANK($D157)</formula>
    </cfRule>
    <cfRule type="expression" dxfId="213" priority="6028">
      <formula>ISBLANK(J154)</formula>
    </cfRule>
    <cfRule type="expression" dxfId="212" priority="6028">
      <formula>AND(ISNUMBER(I155),I155&lt;J155)</formula>
    </cfRule>
  </conditionalFormatting>
  <conditionalFormatting sqref="J162">
    <cfRule type="expression" dxfId="211" priority="221">
      <formula>ISBLANK(J160)</formula>
    </cfRule>
    <cfRule type="expression" dxfId="210" priority="222">
      <formula>ISBLANK($D163)</formula>
    </cfRule>
  </conditionalFormatting>
  <conditionalFormatting sqref="F161">
    <cfRule type="expression" dxfId="209" priority="250">
      <formula>AND(NOT(ISBLANK(F160)),ISBLANK(F161))</formula>
    </cfRule>
    <cfRule type="expression" dxfId="208" priority="251">
      <formula>ISBLANK(F160)</formula>
    </cfRule>
    <cfRule type="expression" dxfId="207" priority="258">
      <formula>ISBLANK($D163)</formula>
    </cfRule>
    <cfRule type="expression" dxfId="206" priority="260">
      <formula>AND(ISNUMBER(E161),E161&lt;F161)</formula>
    </cfRule>
  </conditionalFormatting>
  <conditionalFormatting sqref="F160">
    <cfRule type="expression" dxfId="205" priority="259">
      <formula>ISBLANK($D163)</formula>
    </cfRule>
  </conditionalFormatting>
  <conditionalFormatting sqref="F162:I162">
    <cfRule type="expression" dxfId="204" priority="252">
      <formula>ISBLANK(F160)</formula>
    </cfRule>
    <cfRule type="expression" dxfId="203" priority="257">
      <formula>ISBLANK($D163)</formula>
    </cfRule>
  </conditionalFormatting>
  <conditionalFormatting sqref="G160">
    <cfRule type="expression" dxfId="202" priority="256">
      <formula>ISBLANK($D163)</formula>
    </cfRule>
  </conditionalFormatting>
  <conditionalFormatting sqref="H160">
    <cfRule type="expression" dxfId="201" priority="255">
      <formula>ISBLANK($D163)</formula>
    </cfRule>
  </conditionalFormatting>
  <conditionalFormatting sqref="I160">
    <cfRule type="expression" dxfId="200" priority="254">
      <formula>ISBLANK($D163)</formula>
    </cfRule>
  </conditionalFormatting>
  <conditionalFormatting sqref="J160">
    <cfRule type="expression" dxfId="199" priority="253">
      <formula>ISBLANK($D163)</formula>
    </cfRule>
  </conditionalFormatting>
  <conditionalFormatting sqref="G161">
    <cfRule type="expression" dxfId="198" priority="247">
      <formula>AND(NOT(ISBLANK(G160)),ISBLANK(G161))</formula>
    </cfRule>
    <cfRule type="expression" dxfId="197" priority="248">
      <formula>ISBLANK(G160)</formula>
    </cfRule>
    <cfRule type="expression" dxfId="196" priority="249">
      <formula>AND(ISNUMBER(F161),F161&lt;G161)</formula>
    </cfRule>
  </conditionalFormatting>
  <conditionalFormatting sqref="I161">
    <cfRule type="expression" dxfId="195" priority="244">
      <formula>ISBLANK(I160)</formula>
    </cfRule>
    <cfRule type="expression" dxfId="194" priority="245">
      <formula>ISBLANK($D163)</formula>
    </cfRule>
    <cfRule type="expression" dxfId="193" priority="246">
      <formula>AND(ISNUMBER(H161),H161&lt;I161)</formula>
    </cfRule>
  </conditionalFormatting>
  <conditionalFormatting sqref="F163">
    <cfRule type="expression" dxfId="192" priority="241">
      <formula>AND(NOT(ISBLANK(F160)),ISBLANK(F163))</formula>
    </cfRule>
    <cfRule type="expression" dxfId="191" priority="243">
      <formula>ISBLANK($D163)</formula>
    </cfRule>
  </conditionalFormatting>
  <conditionalFormatting sqref="F163">
    <cfRule type="expression" dxfId="190" priority="242">
      <formula>ISBLANK(F160)</formula>
    </cfRule>
  </conditionalFormatting>
  <conditionalFormatting sqref="G163">
    <cfRule type="expression" dxfId="189" priority="238">
      <formula>AND(NOT(ISBLANK(G160)),ISBLANK(G163))</formula>
    </cfRule>
    <cfRule type="expression" dxfId="188" priority="240">
      <formula>ISBLANK($D163)</formula>
    </cfRule>
  </conditionalFormatting>
  <conditionalFormatting sqref="G163">
    <cfRule type="expression" dxfId="187" priority="239">
      <formula>ISBLANK(G160)</formula>
    </cfRule>
  </conditionalFormatting>
  <conditionalFormatting sqref="I163">
    <cfRule type="expression" dxfId="186" priority="235">
      <formula>AND(NOT(ISBLANK(I160)),ISBLANK(I163))</formula>
    </cfRule>
    <cfRule type="expression" dxfId="185" priority="237">
      <formula>ISBLANK($D163)</formula>
    </cfRule>
  </conditionalFormatting>
  <conditionalFormatting sqref="I163">
    <cfRule type="expression" dxfId="184" priority="236">
      <formula>ISBLANK(I160)</formula>
    </cfRule>
  </conditionalFormatting>
  <conditionalFormatting sqref="H163">
    <cfRule type="expression" dxfId="183" priority="233">
      <formula>ISBLANK(H160)</formula>
    </cfRule>
  </conditionalFormatting>
  <conditionalFormatting sqref="H163">
    <cfRule type="expression" dxfId="182" priority="232">
      <formula>AND(NOT(ISBLANK(H160)),ISBLANK(H163))</formula>
    </cfRule>
    <cfRule type="expression" dxfId="181" priority="234">
      <formula>ISBLANK($D163)</formula>
    </cfRule>
  </conditionalFormatting>
  <conditionalFormatting sqref="J163">
    <cfRule type="expression" dxfId="180" priority="229">
      <formula>AND(NOT(ISBLANK(J160)),ISBLANK(J163))</formula>
    </cfRule>
    <cfRule type="expression" dxfId="179" priority="231">
      <formula>ISBLANK($D163)</formula>
    </cfRule>
  </conditionalFormatting>
  <conditionalFormatting sqref="J163">
    <cfRule type="expression" dxfId="178" priority="230">
      <formula>ISBLANK(J160)</formula>
    </cfRule>
  </conditionalFormatting>
  <conditionalFormatting sqref="H161">
    <cfRule type="expression" dxfId="177" priority="225">
      <formula>ISBLANK(H160)</formula>
    </cfRule>
    <cfRule type="expression" dxfId="176" priority="226">
      <formula>AND(NOT(ISBLANK(H160)),ISBLANK(H161))</formula>
    </cfRule>
    <cfRule type="expression" dxfId="175" priority="227">
      <formula>ISBLANK($D163)</formula>
    </cfRule>
    <cfRule type="expression" dxfId="174" priority="228">
      <formula>AND(ISNUMBER(G161),G161&lt;H161)</formula>
    </cfRule>
  </conditionalFormatting>
  <conditionalFormatting sqref="J161">
    <cfRule type="expression" dxfId="173" priority="223">
      <formula>AND(NOT(ISBLANK(J160)),ISBLANK(J161))</formula>
    </cfRule>
    <cfRule type="expression" dxfId="172" priority="224">
      <formula>ISBLANK($D163)</formula>
    </cfRule>
  </conditionalFormatting>
  <conditionalFormatting sqref="J168">
    <cfRule type="expression" dxfId="171" priority="161">
      <formula>ISBLANK(J166)</formula>
    </cfRule>
    <cfRule type="expression" dxfId="170" priority="162">
      <formula>ISBLANK($D169)</formula>
    </cfRule>
  </conditionalFormatting>
  <conditionalFormatting sqref="F167">
    <cfRule type="expression" dxfId="169" priority="190">
      <formula>AND(NOT(ISBLANK(F166)),ISBLANK(F167))</formula>
    </cfRule>
    <cfRule type="expression" dxfId="168" priority="191">
      <formula>ISBLANK(F166)</formula>
    </cfRule>
    <cfRule type="expression" dxfId="167" priority="198">
      <formula>ISBLANK($D169)</formula>
    </cfRule>
    <cfRule type="expression" dxfId="166" priority="200">
      <formula>AND(ISNUMBER(E167),E167&lt;F167)</formula>
    </cfRule>
  </conditionalFormatting>
  <conditionalFormatting sqref="F166">
    <cfRule type="expression" dxfId="165" priority="199">
      <formula>ISBLANK($D169)</formula>
    </cfRule>
  </conditionalFormatting>
  <conditionalFormatting sqref="F168:I168">
    <cfRule type="expression" dxfId="164" priority="192">
      <formula>ISBLANK(F166)</formula>
    </cfRule>
    <cfRule type="expression" dxfId="163" priority="197">
      <formula>ISBLANK($D169)</formula>
    </cfRule>
  </conditionalFormatting>
  <conditionalFormatting sqref="G166">
    <cfRule type="expression" dxfId="162" priority="196">
      <formula>ISBLANK($D169)</formula>
    </cfRule>
  </conditionalFormatting>
  <conditionalFormatting sqref="H166">
    <cfRule type="expression" dxfId="161" priority="195">
      <formula>ISBLANK($D169)</formula>
    </cfRule>
  </conditionalFormatting>
  <conditionalFormatting sqref="I166">
    <cfRule type="expression" dxfId="160" priority="194">
      <formula>ISBLANK($D169)</formula>
    </cfRule>
  </conditionalFormatting>
  <conditionalFormatting sqref="J166">
    <cfRule type="expression" dxfId="159" priority="193">
      <formula>ISBLANK($D169)</formula>
    </cfRule>
  </conditionalFormatting>
  <conditionalFormatting sqref="G167">
    <cfRule type="expression" dxfId="158" priority="187">
      <formula>AND(NOT(ISBLANK(G166)),ISBLANK(G167))</formula>
    </cfRule>
    <cfRule type="expression" dxfId="157" priority="188">
      <formula>ISBLANK(G166)</formula>
    </cfRule>
    <cfRule type="expression" dxfId="156" priority="189">
      <formula>AND(ISNUMBER(F167),F167&lt;G167)</formula>
    </cfRule>
  </conditionalFormatting>
  <conditionalFormatting sqref="I167">
    <cfRule type="expression" dxfId="155" priority="184">
      <formula>ISBLANK(I166)</formula>
    </cfRule>
    <cfRule type="expression" dxfId="154" priority="185">
      <formula>ISBLANK($D169)</formula>
    </cfRule>
    <cfRule type="expression" dxfId="153" priority="186">
      <formula>AND(ISNUMBER(H167),H167&lt;I167)</formula>
    </cfRule>
  </conditionalFormatting>
  <conditionalFormatting sqref="F169">
    <cfRule type="expression" dxfId="152" priority="181">
      <formula>AND(NOT(ISBLANK(F166)),ISBLANK(F169))</formula>
    </cfRule>
    <cfRule type="expression" dxfId="151" priority="183">
      <formula>ISBLANK($D169)</formula>
    </cfRule>
  </conditionalFormatting>
  <conditionalFormatting sqref="F169">
    <cfRule type="expression" dxfId="150" priority="182">
      <formula>ISBLANK(F166)</formula>
    </cfRule>
  </conditionalFormatting>
  <conditionalFormatting sqref="G169">
    <cfRule type="expression" dxfId="149" priority="178">
      <formula>AND(NOT(ISBLANK(G166)),ISBLANK(G169))</formula>
    </cfRule>
    <cfRule type="expression" dxfId="148" priority="180">
      <formula>ISBLANK($D169)</formula>
    </cfRule>
  </conditionalFormatting>
  <conditionalFormatting sqref="G169">
    <cfRule type="expression" dxfId="147" priority="179">
      <formula>ISBLANK(G166)</formula>
    </cfRule>
  </conditionalFormatting>
  <conditionalFormatting sqref="I169">
    <cfRule type="expression" dxfId="146" priority="175">
      <formula>AND(NOT(ISBLANK(I166)),ISBLANK(I169))</formula>
    </cfRule>
    <cfRule type="expression" dxfId="145" priority="177">
      <formula>ISBLANK($D169)</formula>
    </cfRule>
  </conditionalFormatting>
  <conditionalFormatting sqref="I169">
    <cfRule type="expression" dxfId="144" priority="176">
      <formula>ISBLANK(I166)</formula>
    </cfRule>
  </conditionalFormatting>
  <conditionalFormatting sqref="H169">
    <cfRule type="expression" dxfId="143" priority="173">
      <formula>ISBLANK(H166)</formula>
    </cfRule>
  </conditionalFormatting>
  <conditionalFormatting sqref="H169">
    <cfRule type="expression" dxfId="142" priority="172">
      <formula>AND(NOT(ISBLANK(H166)),ISBLANK(H169))</formula>
    </cfRule>
    <cfRule type="expression" dxfId="141" priority="174">
      <formula>ISBLANK($D169)</formula>
    </cfRule>
  </conditionalFormatting>
  <conditionalFormatting sqref="J169">
    <cfRule type="expression" dxfId="140" priority="169">
      <formula>AND(NOT(ISBLANK(J166)),ISBLANK(J169))</formula>
    </cfRule>
    <cfRule type="expression" dxfId="139" priority="171">
      <formula>ISBLANK($D169)</formula>
    </cfRule>
  </conditionalFormatting>
  <conditionalFormatting sqref="J169">
    <cfRule type="expression" dxfId="138" priority="170">
      <formula>ISBLANK(J166)</formula>
    </cfRule>
  </conditionalFormatting>
  <conditionalFormatting sqref="H167">
    <cfRule type="expression" dxfId="137" priority="165">
      <formula>ISBLANK(H166)</formula>
    </cfRule>
    <cfRule type="expression" dxfId="136" priority="166">
      <formula>AND(NOT(ISBLANK(H166)),ISBLANK(H167))</formula>
    </cfRule>
    <cfRule type="expression" dxfId="135" priority="167">
      <formula>ISBLANK($D169)</formula>
    </cfRule>
    <cfRule type="expression" dxfId="134" priority="168">
      <formula>AND(ISNUMBER(G167),G167&lt;H167)</formula>
    </cfRule>
  </conditionalFormatting>
  <conditionalFormatting sqref="J167">
    <cfRule type="expression" dxfId="133" priority="163">
      <formula>AND(NOT(ISBLANK(J166)),ISBLANK(J167))</formula>
    </cfRule>
    <cfRule type="expression" dxfId="132" priority="164">
      <formula>ISBLANK($D169)</formula>
    </cfRule>
  </conditionalFormatting>
  <conditionalFormatting sqref="J174">
    <cfRule type="expression" dxfId="131" priority="121">
      <formula>ISBLANK(J172)</formula>
    </cfRule>
    <cfRule type="expression" dxfId="130" priority="122">
      <formula>ISBLANK($D175)</formula>
    </cfRule>
  </conditionalFormatting>
  <conditionalFormatting sqref="F173">
    <cfRule type="expression" dxfId="129" priority="150">
      <formula>AND(NOT(ISBLANK(F172)),ISBLANK(F173))</formula>
    </cfRule>
    <cfRule type="expression" dxfId="128" priority="151">
      <formula>ISBLANK(F172)</formula>
    </cfRule>
    <cfRule type="expression" dxfId="127" priority="158">
      <formula>ISBLANK($D175)</formula>
    </cfRule>
    <cfRule type="expression" dxfId="126" priority="160">
      <formula>AND(ISNUMBER(E173),E173&lt;F173)</formula>
    </cfRule>
  </conditionalFormatting>
  <conditionalFormatting sqref="F172">
    <cfRule type="expression" dxfId="125" priority="159">
      <formula>ISBLANK($D175)</formula>
    </cfRule>
  </conditionalFormatting>
  <conditionalFormatting sqref="F174:I174">
    <cfRule type="expression" dxfId="124" priority="152">
      <formula>ISBLANK(F172)</formula>
    </cfRule>
    <cfRule type="expression" dxfId="123" priority="157">
      <formula>ISBLANK($D175)</formula>
    </cfRule>
  </conditionalFormatting>
  <conditionalFormatting sqref="G172">
    <cfRule type="expression" dxfId="122" priority="156">
      <formula>ISBLANK($D175)</formula>
    </cfRule>
  </conditionalFormatting>
  <conditionalFormatting sqref="H172">
    <cfRule type="expression" dxfId="121" priority="155">
      <formula>ISBLANK($D175)</formula>
    </cfRule>
  </conditionalFormatting>
  <conditionalFormatting sqref="I172">
    <cfRule type="expression" dxfId="120" priority="154">
      <formula>ISBLANK($D175)</formula>
    </cfRule>
  </conditionalFormatting>
  <conditionalFormatting sqref="J172">
    <cfRule type="expression" dxfId="119" priority="153">
      <formula>ISBLANK($D175)</formula>
    </cfRule>
  </conditionalFormatting>
  <conditionalFormatting sqref="G173">
    <cfRule type="expression" dxfId="118" priority="147">
      <formula>AND(NOT(ISBLANK(G172)),ISBLANK(G173))</formula>
    </cfRule>
    <cfRule type="expression" dxfId="117" priority="148">
      <formula>ISBLANK(G172)</formula>
    </cfRule>
    <cfRule type="expression" dxfId="116" priority="149">
      <formula>AND(ISNUMBER(F173),F173&lt;G173)</formula>
    </cfRule>
    <cfRule type="expression" dxfId="115" priority="6029">
      <formula>ISBLANK($D175)</formula>
    </cfRule>
  </conditionalFormatting>
  <conditionalFormatting sqref="I173">
    <cfRule type="expression" dxfId="114" priority="144">
      <formula>ISBLANK(I172)</formula>
    </cfRule>
    <cfRule type="expression" dxfId="113" priority="145">
      <formula>ISBLANK($D175)</formula>
    </cfRule>
    <cfRule type="expression" dxfId="112" priority="146">
      <formula>AND(ISNUMBER(H173),H173&lt;I173)</formula>
    </cfRule>
    <cfRule type="expression" dxfId="111" priority="6030">
      <formula>AND(NOT(ISBLANK(I172)),ISBLANK(I173))</formula>
    </cfRule>
  </conditionalFormatting>
  <conditionalFormatting sqref="F175">
    <cfRule type="expression" dxfId="110" priority="141">
      <formula>AND(NOT(ISBLANK(F172)),ISBLANK(F175))</formula>
    </cfRule>
    <cfRule type="expression" dxfId="109" priority="143">
      <formula>ISBLANK($D175)</formula>
    </cfRule>
  </conditionalFormatting>
  <conditionalFormatting sqref="F175">
    <cfRule type="expression" dxfId="108" priority="142">
      <formula>ISBLANK(F172)</formula>
    </cfRule>
  </conditionalFormatting>
  <conditionalFormatting sqref="G175">
    <cfRule type="expression" dxfId="107" priority="138">
      <formula>AND(NOT(ISBLANK(G172)),ISBLANK(G175))</formula>
    </cfRule>
    <cfRule type="expression" dxfId="106" priority="140">
      <formula>ISBLANK($D175)</formula>
    </cfRule>
  </conditionalFormatting>
  <conditionalFormatting sqref="G175">
    <cfRule type="expression" dxfId="105" priority="139">
      <formula>ISBLANK(G172)</formula>
    </cfRule>
  </conditionalFormatting>
  <conditionalFormatting sqref="I175">
    <cfRule type="expression" dxfId="104" priority="135">
      <formula>AND(NOT(ISBLANK(I172)),ISBLANK(I175))</formula>
    </cfRule>
    <cfRule type="expression" dxfId="103" priority="137">
      <formula>ISBLANK($D175)</formula>
    </cfRule>
  </conditionalFormatting>
  <conditionalFormatting sqref="I175">
    <cfRule type="expression" dxfId="102" priority="136">
      <formula>ISBLANK(I172)</formula>
    </cfRule>
  </conditionalFormatting>
  <conditionalFormatting sqref="H175">
    <cfRule type="expression" dxfId="101" priority="133">
      <formula>ISBLANK(H172)</formula>
    </cfRule>
  </conditionalFormatting>
  <conditionalFormatting sqref="H175">
    <cfRule type="expression" dxfId="100" priority="132">
      <formula>AND(NOT(ISBLANK(H172)),ISBLANK(H175))</formula>
    </cfRule>
    <cfRule type="expression" dxfId="99" priority="134">
      <formula>ISBLANK($D175)</formula>
    </cfRule>
  </conditionalFormatting>
  <conditionalFormatting sqref="J175">
    <cfRule type="expression" dxfId="98" priority="129">
      <formula>AND(NOT(ISBLANK(J172)),ISBLANK(J175))</formula>
    </cfRule>
    <cfRule type="expression" dxfId="97" priority="131">
      <formula>ISBLANK($D175)</formula>
    </cfRule>
  </conditionalFormatting>
  <conditionalFormatting sqref="J175">
    <cfRule type="expression" dxfId="96" priority="130">
      <formula>ISBLANK(J172)</formula>
    </cfRule>
  </conditionalFormatting>
  <conditionalFormatting sqref="H173">
    <cfRule type="expression" dxfId="95" priority="125">
      <formula>ISBLANK(H172)</formula>
    </cfRule>
    <cfRule type="expression" dxfId="94" priority="126">
      <formula>AND(NOT(ISBLANK(H172)),ISBLANK(H173))</formula>
    </cfRule>
    <cfRule type="expression" dxfId="93" priority="127">
      <formula>ISBLANK($D175)</formula>
    </cfRule>
    <cfRule type="expression" dxfId="92" priority="128">
      <formula>AND(ISNUMBER(G173),G173&lt;H173)</formula>
    </cfRule>
  </conditionalFormatting>
  <conditionalFormatting sqref="J173">
    <cfRule type="expression" dxfId="91" priority="123">
      <formula>AND(NOT(ISBLANK(J172)),ISBLANK(J173))</formula>
    </cfRule>
    <cfRule type="expression" dxfId="90" priority="124">
      <formula>ISBLANK($D175)</formula>
    </cfRule>
    <cfRule type="expression" dxfId="89" priority="6031">
      <formula>ISBLANK(J172)</formula>
    </cfRule>
    <cfRule type="expression" dxfId="88" priority="6031">
      <formula>AND(ISNUMBER(I173),I173&lt;J173)</formula>
    </cfRule>
  </conditionalFormatting>
  <conditionalFormatting sqref="J180">
    <cfRule type="expression" dxfId="87" priority="81">
      <formula>ISBLANK(J178)</formula>
    </cfRule>
    <cfRule type="expression" dxfId="86" priority="82">
      <formula>ISBLANK($D181)</formula>
    </cfRule>
  </conditionalFormatting>
  <conditionalFormatting sqref="F179">
    <cfRule type="expression" dxfId="85" priority="110">
      <formula>AND(NOT(ISBLANK(F178)),ISBLANK(F179))</formula>
    </cfRule>
    <cfRule type="expression" dxfId="84" priority="111">
      <formula>ISBLANK(F178)</formula>
    </cfRule>
    <cfRule type="expression" dxfId="83" priority="118">
      <formula>ISBLANK($D181)</formula>
    </cfRule>
    <cfRule type="expression" dxfId="82" priority="120">
      <formula>AND(ISNUMBER(E179),E179&lt;F179)</formula>
    </cfRule>
  </conditionalFormatting>
  <conditionalFormatting sqref="F178">
    <cfRule type="expression" dxfId="81" priority="119">
      <formula>ISBLANK($D181)</formula>
    </cfRule>
  </conditionalFormatting>
  <conditionalFormatting sqref="F180:I180">
    <cfRule type="expression" dxfId="80" priority="112">
      <formula>ISBLANK(F178)</formula>
    </cfRule>
    <cfRule type="expression" dxfId="79" priority="117">
      <formula>ISBLANK($D181)</formula>
    </cfRule>
  </conditionalFormatting>
  <conditionalFormatting sqref="G178">
    <cfRule type="expression" dxfId="78" priority="116">
      <formula>ISBLANK($D181)</formula>
    </cfRule>
  </conditionalFormatting>
  <conditionalFormatting sqref="H178">
    <cfRule type="expression" dxfId="77" priority="115">
      <formula>ISBLANK($D181)</formula>
    </cfRule>
  </conditionalFormatting>
  <conditionalFormatting sqref="I178">
    <cfRule type="expression" dxfId="76" priority="114">
      <formula>ISBLANK($D181)</formula>
    </cfRule>
  </conditionalFormatting>
  <conditionalFormatting sqref="J178">
    <cfRule type="expression" dxfId="75" priority="113">
      <formula>ISBLANK($D181)</formula>
    </cfRule>
  </conditionalFormatting>
  <conditionalFormatting sqref="G179">
    <cfRule type="expression" dxfId="74" priority="107">
      <formula>AND(NOT(ISBLANK(G178)),ISBLANK(G179))</formula>
    </cfRule>
    <cfRule type="expression" dxfId="73" priority="108">
      <formula>ISBLANK(G178)</formula>
    </cfRule>
    <cfRule type="expression" dxfId="72" priority="109">
      <formula>AND(ISNUMBER(F179),F179&lt;G179)</formula>
    </cfRule>
    <cfRule type="expression" dxfId="71" priority="6032">
      <formula>ISBLANK($D181)</formula>
    </cfRule>
  </conditionalFormatting>
  <conditionalFormatting sqref="I179">
    <cfRule type="expression" dxfId="70" priority="104">
      <formula>ISBLANK(I178)</formula>
    </cfRule>
    <cfRule type="expression" dxfId="69" priority="105">
      <formula>ISBLANK($D181)</formula>
    </cfRule>
    <cfRule type="expression" dxfId="68" priority="106">
      <formula>AND(ISNUMBER(H179),H179&lt;I179)</formula>
    </cfRule>
    <cfRule type="expression" dxfId="67" priority="6033">
      <formula>AND(NOT(ISBLANK(I178)),ISBLANK(I179))</formula>
    </cfRule>
  </conditionalFormatting>
  <conditionalFormatting sqref="F181">
    <cfRule type="expression" dxfId="66" priority="101">
      <formula>AND(NOT(ISBLANK(F178)),ISBLANK(F181))</formula>
    </cfRule>
    <cfRule type="expression" dxfId="65" priority="103">
      <formula>ISBLANK($D181)</formula>
    </cfRule>
  </conditionalFormatting>
  <conditionalFormatting sqref="F181">
    <cfRule type="expression" dxfId="64" priority="102">
      <formula>ISBLANK(F178)</formula>
    </cfRule>
  </conditionalFormatting>
  <conditionalFormatting sqref="G181">
    <cfRule type="expression" dxfId="63" priority="98">
      <formula>AND(NOT(ISBLANK(G178)),ISBLANK(G181))</formula>
    </cfRule>
    <cfRule type="expression" dxfId="62" priority="100">
      <formula>ISBLANK($D181)</formula>
    </cfRule>
  </conditionalFormatting>
  <conditionalFormatting sqref="G181">
    <cfRule type="expression" dxfId="61" priority="99">
      <formula>ISBLANK(G178)</formula>
    </cfRule>
  </conditionalFormatting>
  <conditionalFormatting sqref="I181">
    <cfRule type="expression" dxfId="60" priority="95">
      <formula>AND(NOT(ISBLANK(I178)),ISBLANK(I181))</formula>
    </cfRule>
    <cfRule type="expression" dxfId="59" priority="97">
      <formula>ISBLANK($D181)</formula>
    </cfRule>
  </conditionalFormatting>
  <conditionalFormatting sqref="I181">
    <cfRule type="expression" dxfId="58" priority="96">
      <formula>ISBLANK(I178)</formula>
    </cfRule>
  </conditionalFormatting>
  <conditionalFormatting sqref="H181">
    <cfRule type="expression" dxfId="57" priority="93">
      <formula>ISBLANK(H178)</formula>
    </cfRule>
  </conditionalFormatting>
  <conditionalFormatting sqref="H181">
    <cfRule type="expression" dxfId="56" priority="92">
      <formula>AND(NOT(ISBLANK(H178)),ISBLANK(H181))</formula>
    </cfRule>
    <cfRule type="expression" dxfId="55" priority="94">
      <formula>ISBLANK($D181)</formula>
    </cfRule>
  </conditionalFormatting>
  <conditionalFormatting sqref="J181">
    <cfRule type="expression" dxfId="54" priority="89">
      <formula>AND(NOT(ISBLANK(J178)),ISBLANK(J181))</formula>
    </cfRule>
    <cfRule type="expression" dxfId="53" priority="91">
      <formula>ISBLANK($D181)</formula>
    </cfRule>
  </conditionalFormatting>
  <conditionalFormatting sqref="J181">
    <cfRule type="expression" dxfId="52" priority="90">
      <formula>ISBLANK(J178)</formula>
    </cfRule>
  </conditionalFormatting>
  <conditionalFormatting sqref="H179">
    <cfRule type="expression" dxfId="51" priority="85">
      <formula>ISBLANK(H178)</formula>
    </cfRule>
    <cfRule type="expression" dxfId="50" priority="86">
      <formula>AND(NOT(ISBLANK(H178)),ISBLANK(H179))</formula>
    </cfRule>
    <cfRule type="expression" dxfId="49" priority="87">
      <formula>ISBLANK($D181)</formula>
    </cfRule>
    <cfRule type="expression" dxfId="48" priority="88">
      <formula>AND(ISNUMBER(G179),G179&lt;H179)</formula>
    </cfRule>
  </conditionalFormatting>
  <conditionalFormatting sqref="J179">
    <cfRule type="expression" dxfId="47" priority="83">
      <formula>AND(NOT(ISBLANK(J178)),ISBLANK(J179))</formula>
    </cfRule>
    <cfRule type="expression" dxfId="46" priority="84">
      <formula>ISBLANK($D181)</formula>
    </cfRule>
    <cfRule type="expression" dxfId="45" priority="6034">
      <formula>ISBLANK(J178)</formula>
    </cfRule>
    <cfRule type="expression" dxfId="44" priority="6034">
      <formula>AND(ISNUMBER(I179),I179&lt;J179)</formula>
    </cfRule>
  </conditionalFormatting>
  <conditionalFormatting sqref="J186">
    <cfRule type="expression" dxfId="43" priority="41">
      <formula>ISBLANK(J184)</formula>
    </cfRule>
    <cfRule type="expression" dxfId="42" priority="42">
      <formula>ISBLANK($D187)</formula>
    </cfRule>
  </conditionalFormatting>
  <conditionalFormatting sqref="F185">
    <cfRule type="expression" dxfId="41" priority="70">
      <formula>AND(NOT(ISBLANK(F184)),ISBLANK(F185))</formula>
    </cfRule>
    <cfRule type="expression" dxfId="40" priority="71">
      <formula>ISBLANK(F184)</formula>
    </cfRule>
    <cfRule type="expression" dxfId="39" priority="78">
      <formula>ISBLANK($D187)</formula>
    </cfRule>
    <cfRule type="expression" dxfId="38" priority="80">
      <formula>AND(ISNUMBER(E185),E185&lt;F185)</formula>
    </cfRule>
  </conditionalFormatting>
  <conditionalFormatting sqref="F184">
    <cfRule type="expression" dxfId="37" priority="79">
      <formula>ISBLANK($D187)</formula>
    </cfRule>
  </conditionalFormatting>
  <conditionalFormatting sqref="F186:I186">
    <cfRule type="expression" dxfId="36" priority="72">
      <formula>ISBLANK(F184)</formula>
    </cfRule>
    <cfRule type="expression" dxfId="35" priority="77">
      <formula>ISBLANK($D187)</formula>
    </cfRule>
  </conditionalFormatting>
  <conditionalFormatting sqref="G184">
    <cfRule type="expression" dxfId="34" priority="76">
      <formula>ISBLANK($D187)</formula>
    </cfRule>
  </conditionalFormatting>
  <conditionalFormatting sqref="H184">
    <cfRule type="expression" dxfId="33" priority="75">
      <formula>ISBLANK($D187)</formula>
    </cfRule>
  </conditionalFormatting>
  <conditionalFormatting sqref="I184">
    <cfRule type="expression" dxfId="32" priority="74">
      <formula>ISBLANK($D187)</formula>
    </cfRule>
  </conditionalFormatting>
  <conditionalFormatting sqref="J184">
    <cfRule type="expression" dxfId="31" priority="73">
      <formula>ISBLANK($D187)</formula>
    </cfRule>
  </conditionalFormatting>
  <conditionalFormatting sqref="G185">
    <cfRule type="expression" dxfId="30" priority="67">
      <formula>AND(NOT(ISBLANK(G184)),ISBLANK(G185))</formula>
    </cfRule>
    <cfRule type="expression" dxfId="29" priority="68">
      <formula>ISBLANK(G184)</formula>
    </cfRule>
    <cfRule type="expression" dxfId="28" priority="69">
      <formula>AND(ISNUMBER(F185),F185&lt;G185)</formula>
    </cfRule>
    <cfRule type="expression" dxfId="27" priority="6035">
      <formula>ISBLANK($D187)</formula>
    </cfRule>
  </conditionalFormatting>
  <conditionalFormatting sqref="I185">
    <cfRule type="expression" dxfId="26" priority="64">
      <formula>ISBLANK(I184)</formula>
    </cfRule>
    <cfRule type="expression" dxfId="25" priority="65">
      <formula>ISBLANK($D187)</formula>
    </cfRule>
    <cfRule type="expression" dxfId="24" priority="66">
      <formula>AND(ISNUMBER(H185),H185&lt;I185)</formula>
    </cfRule>
    <cfRule type="expression" dxfId="23" priority="6036">
      <formula>AND(NOT(ISBLANK(I184)),ISBLANK(I185))</formula>
    </cfRule>
  </conditionalFormatting>
  <conditionalFormatting sqref="F187">
    <cfRule type="expression" dxfId="22" priority="61">
      <formula>AND(NOT(ISBLANK(F184)),ISBLANK(F187))</formula>
    </cfRule>
    <cfRule type="expression" dxfId="21" priority="63">
      <formula>ISBLANK($D187)</formula>
    </cfRule>
  </conditionalFormatting>
  <conditionalFormatting sqref="F187">
    <cfRule type="expression" dxfId="20" priority="62">
      <formula>ISBLANK(F184)</formula>
    </cfRule>
  </conditionalFormatting>
  <conditionalFormatting sqref="G187">
    <cfRule type="expression" dxfId="19" priority="58">
      <formula>AND(NOT(ISBLANK(G184)),ISBLANK(G187))</formula>
    </cfRule>
    <cfRule type="expression" dxfId="18" priority="60">
      <formula>ISBLANK($D187)</formula>
    </cfRule>
  </conditionalFormatting>
  <conditionalFormatting sqref="G187">
    <cfRule type="expression" dxfId="17" priority="59">
      <formula>ISBLANK(G184)</formula>
    </cfRule>
  </conditionalFormatting>
  <conditionalFormatting sqref="I187">
    <cfRule type="expression" dxfId="16" priority="55">
      <formula>AND(NOT(ISBLANK(I184)),ISBLANK(I187))</formula>
    </cfRule>
    <cfRule type="expression" dxfId="15" priority="57">
      <formula>ISBLANK($D187)</formula>
    </cfRule>
  </conditionalFormatting>
  <conditionalFormatting sqref="I187">
    <cfRule type="expression" dxfId="14" priority="56">
      <formula>ISBLANK(I184)</formula>
    </cfRule>
  </conditionalFormatting>
  <conditionalFormatting sqref="H187">
    <cfRule type="expression" dxfId="13" priority="53">
      <formula>ISBLANK(H184)</formula>
    </cfRule>
  </conditionalFormatting>
  <conditionalFormatting sqref="H187">
    <cfRule type="expression" dxfId="12" priority="52">
      <formula>AND(NOT(ISBLANK(H184)),ISBLANK(H187))</formula>
    </cfRule>
    <cfRule type="expression" dxfId="11" priority="54">
      <formula>ISBLANK($D187)</formula>
    </cfRule>
  </conditionalFormatting>
  <conditionalFormatting sqref="J187">
    <cfRule type="expression" dxfId="10" priority="49">
      <formula>AND(NOT(ISBLANK(J184)),ISBLANK(J187))</formula>
    </cfRule>
    <cfRule type="expression" dxfId="9" priority="51">
      <formula>ISBLANK($D187)</formula>
    </cfRule>
  </conditionalFormatting>
  <conditionalFormatting sqref="J187">
    <cfRule type="expression" dxfId="8" priority="50">
      <formula>ISBLANK(J184)</formula>
    </cfRule>
  </conditionalFormatting>
  <conditionalFormatting sqref="H185">
    <cfRule type="expression" dxfId="7" priority="45">
      <formula>ISBLANK(H184)</formula>
    </cfRule>
    <cfRule type="expression" dxfId="6" priority="46">
      <formula>AND(NOT(ISBLANK(H184)),ISBLANK(H185))</formula>
    </cfRule>
    <cfRule type="expression" dxfId="5" priority="47">
      <formula>ISBLANK($D187)</formula>
    </cfRule>
    <cfRule type="expression" dxfId="4" priority="48">
      <formula>AND(ISNUMBER(G185),G185&lt;H185)</formula>
    </cfRule>
  </conditionalFormatting>
  <conditionalFormatting sqref="J185">
    <cfRule type="expression" dxfId="3" priority="43">
      <formula>AND(NOT(ISBLANK(J184)),ISBLANK(J185))</formula>
    </cfRule>
    <cfRule type="expression" dxfId="2" priority="44">
      <formula>ISBLANK($D187)</formula>
    </cfRule>
    <cfRule type="expression" dxfId="1" priority="6037">
      <formula>ISBLANK(J184)</formula>
    </cfRule>
    <cfRule type="expression" dxfId="0" priority="6037">
      <formula>AND(ISNUMBER(I185),I185&lt;J185)</formula>
    </cfRule>
  </conditionalFormatting>
  <dataValidations count="2">
    <dataValidation type="list" allowBlank="1" showInputMessage="1" showErrorMessage="1" sqref="E11 E17 E23 E29 E35 E41 E47 E53 E59 E65 E71 E77 E83 E89 E95 E101 E107 E113 E119 E125 E131 E137 E143 E149 E155 E161 E167 E173 E179 E185" xr:uid="{CAE68446-C643-4EA2-9020-3AE09AD8A9D5}">
      <formula1>CriteriumScoreType</formula1>
    </dataValidation>
    <dataValidation type="list" allowBlank="1" showInputMessage="1" showErrorMessage="1" sqref="F10:J10 F16:J16 F22:J22 F28:J28 F34:J34 F40:J40 F46:J46 F52:J52 F58:J58 F64:J64 F70:J70 F76:J76 F82:J82 F88:J88 F94:J94 F100:J100 F106:J106 F112:J112 F118:J118 F124:J124 F130:J130 F136:J136 F142:J142 F148:J148 F154:J154 F160:J160 F166:J166 F172:J172 F178:J178 F184:J184" xr:uid="{E906CE6A-B646-4F46-A7A5-93C8F2C0C6D8}">
      <formula1>RatingNames</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GenerateButton_Click" altText="Generate Rubric JSON-data">
                <anchor moveWithCells="1" sizeWithCells="1">
                  <from>
                    <xdr:col>5</xdr:col>
                    <xdr:colOff>2362200</xdr:colOff>
                    <xdr:row>0</xdr:row>
                    <xdr:rowOff>254000</xdr:rowOff>
                  </from>
                  <to>
                    <xdr:col>6</xdr:col>
                    <xdr:colOff>2362200</xdr:colOff>
                    <xdr:row>1</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4BE72-453F-41A2-BFC6-8C044B472065}">
  <sheetPr codeName="Sheet7"/>
  <dimension ref="B2:D13"/>
  <sheetViews>
    <sheetView workbookViewId="0">
      <selection activeCell="B13" sqref="B13"/>
    </sheetView>
  </sheetViews>
  <sheetFormatPr defaultRowHeight="14.5" x14ac:dyDescent="0.35"/>
  <cols>
    <col min="2" max="2" width="18" customWidth="1"/>
    <col min="4" max="4" width="19.08984375" customWidth="1"/>
  </cols>
  <sheetData>
    <row r="2" spans="2:4" x14ac:dyDescent="0.35">
      <c r="B2" s="18" t="s">
        <v>11</v>
      </c>
      <c r="D2" s="18" t="s">
        <v>13</v>
      </c>
    </row>
    <row r="3" spans="2:4" x14ac:dyDescent="0.35">
      <c r="B3" t="s">
        <v>8</v>
      </c>
    </row>
    <row r="4" spans="2:4" x14ac:dyDescent="0.35">
      <c r="B4" t="s">
        <v>10</v>
      </c>
      <c r="D4" t="s">
        <v>2</v>
      </c>
    </row>
    <row r="5" spans="2:4" x14ac:dyDescent="0.35">
      <c r="D5" t="s">
        <v>3</v>
      </c>
    </row>
    <row r="6" spans="2:4" x14ac:dyDescent="0.35">
      <c r="D6" t="s">
        <v>0</v>
      </c>
    </row>
    <row r="7" spans="2:4" x14ac:dyDescent="0.35">
      <c r="D7" t="s">
        <v>1</v>
      </c>
    </row>
    <row r="8" spans="2:4" x14ac:dyDescent="0.35">
      <c r="D8" t="s">
        <v>4</v>
      </c>
    </row>
    <row r="12" spans="2:4" x14ac:dyDescent="0.35">
      <c r="B12" s="18" t="s">
        <v>21</v>
      </c>
    </row>
    <row r="13" spans="2:4" x14ac:dyDescent="0.35">
      <c r="B13" t="s">
        <v>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4D21FE9DA96945B4F193C59EB7A458" ma:contentTypeVersion="0" ma:contentTypeDescription="Een nieuw document maken." ma:contentTypeScope="" ma:versionID="1ebf759c75e81455fc0c5a89c5b75d01">
  <xsd:schema xmlns:xsd="http://www.w3.org/2001/XMLSchema" xmlns:xs="http://www.w3.org/2001/XMLSchema" xmlns:p="http://schemas.microsoft.com/office/2006/metadata/properties" targetNamespace="http://schemas.microsoft.com/office/2006/metadata/properties" ma:root="true" ma:fieldsID="4026c954aec35dea8a68741baf22be7a">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61FA0D9-9E4E-4FDC-89B3-4100A6005E44}">
  <ds:schemaRefs>
    <ds:schemaRef ds:uri="http://schemas.microsoft.com/sharepoint/v3/contenttype/forms"/>
  </ds:schemaRefs>
</ds:datastoreItem>
</file>

<file path=customXml/itemProps2.xml><?xml version="1.0" encoding="utf-8"?>
<ds:datastoreItem xmlns:ds="http://schemas.openxmlformats.org/officeDocument/2006/customXml" ds:itemID="{A13661F2-3E8E-43A3-BFAF-47B66541B4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CE996776-9258-44A6-B7E5-66BFAD761295}">
  <ds:schemaRefs>
    <ds:schemaRef ds:uri="http://schemas.openxmlformats.org/package/2006/metadata/core-properties"/>
    <ds:schemaRef ds:uri="http://schemas.microsoft.com/office/2006/metadata/properties"/>
    <ds:schemaRef ds:uri="http://www.w3.org/XML/1998/namespace"/>
    <ds:schemaRef ds:uri="http://purl.org/dc/elements/1.1/"/>
    <ds:schemaRef ds:uri="http://schemas.microsoft.com/office/2006/documentManagement/types"/>
    <ds:schemaRef ds:uri="http://purl.org/dc/terms/"/>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Rubric</vt:lpstr>
      <vt:lpstr>Instellingen</vt:lpstr>
      <vt:lpstr>CriteriumScoreType</vt:lpstr>
      <vt:lpstr>RatingNames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Deboosere Dries</dc:creator>
  <cp:lastModifiedBy>Siegfried</cp:lastModifiedBy>
  <dcterms:created xsi:type="dcterms:W3CDTF">2020-09-27T09:04:53Z</dcterms:created>
  <dcterms:modified xsi:type="dcterms:W3CDTF">2020-10-12T22:54:33Z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0x010100C94D21FE9DA96945B4F193C59EB7A458</vt:lpwstr>
  </property>
</Properties>
</file>